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1\"/>
    </mc:Choice>
  </mc:AlternateContent>
  <xr:revisionPtr revIDLastSave="0" documentId="13_ncr:1_{0DFDB34F-338A-4446-923C-391521F31C80}"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<sst xmlns="http://schemas.openxmlformats.org/spreadsheetml/2006/main" count="141" uniqueCount="79">
  <si>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</si>
  <si>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</si>
  <si>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</si>
  <si>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</si>
  <si>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</si>
  <si>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</si>
  <si>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</si>
  <si>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</si>
  <si>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</si>
  <si>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</si>
  <si>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</si>
  <si>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</si>
  <si>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</si>
  <si>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</si>
  <si>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</si>
  <si>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</si>
  <si>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</si>
  <si>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</si>
  <si>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</si>
  <si>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</si>
  <si>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</si>
  <si>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</si>
  <si>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</si>
  <si>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</si>
  <si>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</si>
  <si>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</si>
  <si>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</si>
  <si>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</si>
  <si>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</si>
  <si>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</si>
  <si>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</si>
  <si>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</si>
  <si>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</si>
  <si>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</si>
  <si>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</si>
  <si>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</si>
  <si>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</si>
  <si>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</si>
  <si>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</si>
  <si>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</si>
  <si>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</si>
  <si>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</si>
  <si>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</si>
  <si>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</si>
  <si>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</si>
  <si>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</si>
  <si>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</si>
  <si>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</si>
  <si>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</si>
  <si>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</si>
  <si>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</si>
  <si>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</si>
  <si>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</si>
  <si>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</si>
  <si>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</si>
  <si>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</si>
  <si>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</si>
  <si>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</si>
  <si>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</si>
  <si>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</si>
  <si>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</si>
  <si>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</si>
  <si>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</si>
  <si>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</si>
  <si>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</si>
  <si>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</si>
  <si>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</si>
  <si>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</si>
  <si>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</si>
  <si>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</si>
  <si>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</si>
  <si>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</si>
  <si>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</si>
  <si>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</si>
  <si>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</si>
  <si>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</si>
  <si>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ALMENDRA_AGUILERA,_GUILLERMO</t>
  </si>
  <si>
    <t>MIRANDA_ACUNA,_SEBASTIAN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</si>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</sst>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F15" sqref="F15"/>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5.8</v>
      </c>
      <c r="D4" s="4">
        <f>$C$32</f>
        <v>7</v>
      </c>
      <c r="E4" s="5">
        <f>C4*C$2+D4*D$2</f>
        <v>6.1</v>
      </c>
      <c r="G4" s="1"/>
    </row>
    <row r="5" spans="1:11" ht="14.5" x14ac:dyDescent="0.35">
      <c r="A5" s="3">
        <v>2</v>
      </c>
      <c r="B5" s="51" t="s">
        <v>77</v>
      </c>
      <c r="C5" s="4">
        <f>EVALUACION1!$C$21</f>
        <v>5.8</v>
      </c>
      <c r="D5" s="4">
        <f>C44</f>
        <v>7</v>
      </c>
      <c r="E5" s="5">
        <f t="shared" ref="E5:E6" si="0">C5*C$2+D5*D$2</f>
        <v>6.1</v>
      </c>
      <c r="G5" s="1"/>
    </row>
    <row r="6" spans="1:11" ht="14.5" x14ac:dyDescent="0.35">
      <c r="A6" s="3">
        <v>3</v>
      </c>
      <c r="B6" s="49"/>
      <c r="C6" s="4">
        <f>EVALUACION1!$C$21</f>
        <v>5.8</v>
      </c>
      <c r="D6" s="4">
        <f>C55</f>
        <v>7</v>
      </c>
      <c r="E6" s="5">
        <f t="shared" si="0"/>
        <v>6.1</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78</v>
      </c>
      <c r="G14" s="15">
        <f>IF(F14="X",60*0.2,"")</f>
        <v>12</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c r="E15" s="15" t="str">
        <f>IF(D15="X",100*0.05,"")</f>
        <v/>
      </c>
      <c r="F15" s="15" t="s">
        <v>78</v>
      </c>
      <c r="G15" s="15">
        <f>IF(F15="X",60*0.05,"")</f>
        <v>3</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c r="E16" s="15" t="str">
        <f>IF(D16="X",100*0.05,"")</f>
        <v/>
      </c>
      <c r="F16" s="15" t="s">
        <v>78</v>
      </c>
      <c r="G16" s="15">
        <f>IF(F16="X",60*0.05,"")</f>
        <v>3</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63</v>
      </c>
      <c r="D20" s="18"/>
      <c r="E20" s="18">
        <f>SUM(E13:E19)</f>
        <v>45</v>
      </c>
      <c r="F20" s="18"/>
      <c r="G20" s="18">
        <f>SUM(G13:G19)</f>
        <v>18</v>
      </c>
      <c r="H20" s="18"/>
      <c r="I20" s="18">
        <f>SUM(I13:I19)</f>
        <v>0</v>
      </c>
      <c r="J20" s="18"/>
      <c r="K20" s="18">
        <f>SUM(K13:K19)</f>
        <v>0</v>
      </c>
    </row>
    <row r="21" spans="1:11" ht="15.75" customHeight="1" outlineLevel="1" x14ac:dyDescent="0.45">
      <c r="A21" s="56"/>
      <c r="B21" s="30" t="s">
        <v>66</v>
      </c>
      <c r="C21" s="19">
        <f>VLOOKUP(C20,ESCALA_IEP!A1:B152,2,FALSE)</f>
        <v>5.8</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MIRANDA_ACUNA,_SEBASTIAN</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f>B6</f>
        <v>0</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2025-11-27T19:53:00Z</dcterms:modified>
  <cp:category/>
  <cp:contentStatus/>
</cp:coreProperties>
</file>