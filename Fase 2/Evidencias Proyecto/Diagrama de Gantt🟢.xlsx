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codeName="ThisWorkbook"/>
  <xr:revisionPtr revIDLastSave="0" documentId="13_ncr:1_{131CFDB5-66D3-4BF3-A1E7-B7A8C810D609}" xr6:coauthVersionLast="47" xr6:coauthVersionMax="47" xr10:uidLastSave="{00000000-0000-0000-0000-000000000000}"/>
  <bookViews>
    <workbookView xWindow="14295" yWindow="0" windowWidth="14610" windowHeight="15585" activeTab="1" xr2:uid="{00000000-000D-0000-FFFF-FFFF00000000}"/>
  </bookViews>
  <sheets>
    <sheet name="Gannt" sheetId="11" r:id="rId1"/>
    <sheet name="Cod" sheetId="14" r:id="rId2"/>
  </sheets>
  <definedNames>
    <definedName name="hoy" localSheetId="0">TODAY()</definedName>
    <definedName name="Inicio_del_proyecto">Gannt!$F$3</definedName>
    <definedName name="Semana_para_mostrar">Gannt!$F$4</definedName>
    <definedName name="task_end" localSheetId="0">Gannt!$G1</definedName>
    <definedName name="task_progress" localSheetId="0">Gannt!$E1</definedName>
    <definedName name="task_start" localSheetId="0">Gannt!$F1</definedName>
    <definedName name="_xlnm.Print_Titles" localSheetId="0">Gannt!$4:$6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3" i="11" l="1"/>
  <c r="I51" i="11"/>
  <c r="I52" i="11"/>
  <c r="I54" i="11"/>
  <c r="I56" i="11"/>
  <c r="I50" i="11"/>
  <c r="I49" i="11"/>
  <c r="I7" i="11"/>
  <c r="I15" i="11" l="1"/>
  <c r="J5" i="11" l="1"/>
  <c r="I46" i="11"/>
  <c r="I45" i="11"/>
  <c r="I44" i="11"/>
  <c r="I43" i="11"/>
  <c r="I40" i="11"/>
  <c r="I29" i="11"/>
  <c r="I21" i="11"/>
  <c r="I20" i="11"/>
  <c r="I16" i="11"/>
  <c r="I8" i="11"/>
  <c r="I9" i="11" l="1"/>
  <c r="J6" i="11"/>
  <c r="I30" i="11" l="1"/>
  <c r="I10" i="11"/>
  <c r="I17" i="11"/>
  <c r="K5" i="11"/>
  <c r="L5" i="11" s="1"/>
  <c r="M5" i="11" s="1"/>
  <c r="N5" i="11" s="1"/>
  <c r="O5" i="11" s="1"/>
  <c r="P5" i="11" s="1"/>
  <c r="Q5" i="11" s="1"/>
  <c r="J4" i="11"/>
  <c r="I25" i="11" l="1"/>
  <c r="I19" i="11"/>
  <c r="I11" i="11"/>
  <c r="Q4" i="11"/>
  <c r="R5" i="11"/>
  <c r="S5" i="11" s="1"/>
  <c r="T5" i="11" s="1"/>
  <c r="U5" i="11" s="1"/>
  <c r="V5" i="11" s="1"/>
  <c r="W5" i="11" s="1"/>
  <c r="X5" i="11" s="1"/>
  <c r="K6" i="11"/>
  <c r="X4" i="11" l="1"/>
  <c r="Y5" i="11"/>
  <c r="Z5" i="11" s="1"/>
  <c r="AA5" i="11" s="1"/>
  <c r="AB5" i="11" s="1"/>
  <c r="AC5" i="11" s="1"/>
  <c r="AD5" i="11" s="1"/>
  <c r="AE5" i="11" s="1"/>
  <c r="L6" i="11"/>
  <c r="AF5" i="11" l="1"/>
  <c r="AG5" i="11" s="1"/>
  <c r="AH5" i="11" s="1"/>
  <c r="AI5" i="11" s="1"/>
  <c r="AJ5" i="11" s="1"/>
  <c r="AK5" i="11" s="1"/>
  <c r="AE4" i="11"/>
  <c r="M6" i="11"/>
  <c r="AL5" i="11" l="1"/>
  <c r="AM5" i="11" s="1"/>
  <c r="AN5" i="11" s="1"/>
  <c r="AO5" i="11" s="1"/>
  <c r="AP5" i="11" s="1"/>
  <c r="AQ5" i="11" s="1"/>
  <c r="AR5" i="11" s="1"/>
  <c r="N6" i="11"/>
  <c r="AS5" i="11" l="1"/>
  <c r="AT5" i="11" s="1"/>
  <c r="AL4" i="11"/>
  <c r="O6" i="11"/>
  <c r="AU5" i="11" l="1"/>
  <c r="AT6" i="11"/>
  <c r="AS4" i="11"/>
  <c r="P6" i="11"/>
  <c r="AV5" i="11" l="1"/>
  <c r="AU6" i="11"/>
  <c r="AW5" i="11" l="1"/>
  <c r="AV6" i="11"/>
  <c r="Q6" i="11"/>
  <c r="R6" i="11"/>
  <c r="AX5" i="11" l="1"/>
  <c r="AW6" i="11"/>
  <c r="S6" i="11"/>
  <c r="AY5" i="11" l="1"/>
  <c r="AZ5" i="11" s="1"/>
  <c r="AX6" i="11"/>
  <c r="BA5" i="11" l="1"/>
  <c r="AZ4" i="11"/>
  <c r="T6" i="11" s="1"/>
  <c r="AY6" i="11"/>
  <c r="U6" i="11"/>
  <c r="AZ6" i="11" l="1"/>
  <c r="BB5" i="11"/>
  <c r="BA6" i="11"/>
  <c r="V6" i="11"/>
  <c r="BB6" i="11" l="1"/>
  <c r="BC5" i="11"/>
  <c r="W6" i="11"/>
  <c r="BC6" i="11" l="1"/>
  <c r="BD5" i="11"/>
  <c r="X6" i="11"/>
  <c r="BD6" i="11" l="1"/>
  <c r="BE5" i="11"/>
  <c r="Y6" i="11"/>
  <c r="BF5" i="11" l="1"/>
  <c r="BE6" i="11"/>
  <c r="Z6" i="11"/>
  <c r="BF6" i="11" l="1"/>
  <c r="BG5" i="11"/>
  <c r="BG6" i="11" l="1"/>
  <c r="BH5" i="11"/>
  <c r="BG4" i="11"/>
  <c r="AA6" i="11" s="1"/>
  <c r="AB6" i="11"/>
  <c r="BH6" i="11" l="1"/>
  <c r="BI5" i="11"/>
  <c r="AC6" i="11"/>
  <c r="BJ5" i="11" l="1"/>
  <c r="BI6" i="11"/>
  <c r="AD6" i="11"/>
  <c r="BK5" i="11" l="1"/>
  <c r="BJ6" i="11"/>
  <c r="AE6" i="11"/>
  <c r="BL5" i="11" l="1"/>
  <c r="BK6" i="11"/>
  <c r="AF6" i="11"/>
  <c r="BM5" i="11" l="1"/>
  <c r="BN5" i="11" s="1"/>
  <c r="BL6" i="11"/>
  <c r="AG6" i="11"/>
  <c r="BN6" i="11" l="1"/>
  <c r="BO5" i="11"/>
  <c r="BN4" i="11"/>
  <c r="BM6" i="11"/>
  <c r="AH6" i="11"/>
  <c r="BP5" i="11" l="1"/>
  <c r="BO6" i="11"/>
  <c r="AI6" i="11"/>
  <c r="BQ5" i="11" l="1"/>
  <c r="BP6" i="11"/>
  <c r="AJ6" i="11"/>
  <c r="BR5" i="11" l="1"/>
  <c r="BQ6" i="11"/>
  <c r="AK6" i="11"/>
  <c r="BS5" i="11" l="1"/>
  <c r="BR6" i="11"/>
  <c r="AL6" i="11"/>
  <c r="BT5" i="11" l="1"/>
  <c r="BS6" i="11"/>
  <c r="AM6" i="11"/>
  <c r="BU5" i="11" l="1"/>
  <c r="BT6" i="11"/>
  <c r="AN6" i="11"/>
  <c r="BV5" i="11" l="1"/>
  <c r="BU4" i="11"/>
  <c r="BU6" i="11"/>
  <c r="AO6" i="11"/>
  <c r="BW5" i="11" l="1"/>
  <c r="BV6" i="11"/>
  <c r="AP6" i="11"/>
  <c r="BX5" i="11" l="1"/>
  <c r="BW6" i="11"/>
  <c r="AQ6" i="11"/>
  <c r="BY5" i="11" l="1"/>
  <c r="BX6" i="11"/>
  <c r="AR6" i="11"/>
  <c r="BZ5" i="11" l="1"/>
  <c r="BY6" i="11"/>
  <c r="AS6" i="11"/>
  <c r="CA5" i="11" l="1"/>
  <c r="BZ6" i="11"/>
  <c r="CB5" i="11" l="1"/>
  <c r="CA6" i="11"/>
  <c r="CC5" i="11" l="1"/>
  <c r="CB6" i="11"/>
  <c r="CB4" i="11"/>
  <c r="CD5" i="11" l="1"/>
  <c r="CC6" i="11"/>
  <c r="CE5" i="11" l="1"/>
  <c r="CD6" i="11"/>
  <c r="CF5" i="11" l="1"/>
  <c r="CE6" i="11"/>
  <c r="CG5" i="11" l="1"/>
  <c r="CF6" i="11"/>
  <c r="CH5" i="11" l="1"/>
  <c r="CG6" i="11"/>
  <c r="CI5" i="11" l="1"/>
  <c r="CH6" i="11"/>
  <c r="CI6" i="11" l="1"/>
  <c r="CJ5" i="11"/>
  <c r="CI4" i="11"/>
  <c r="CK5" i="11" l="1"/>
  <c r="CJ6" i="11"/>
  <c r="CL5" i="11" l="1"/>
  <c r="CK6" i="11"/>
  <c r="CM5" i="11" l="1"/>
  <c r="CL6" i="11"/>
  <c r="CN5" i="11" l="1"/>
  <c r="CM6" i="11"/>
  <c r="CO5" i="11" l="1"/>
  <c r="CN6" i="11"/>
  <c r="CP5" i="11" l="1"/>
  <c r="CO6" i="11"/>
  <c r="CQ5" i="11" l="1"/>
  <c r="CP4" i="11"/>
  <c r="CP6" i="11"/>
  <c r="CR5" i="11" l="1"/>
  <c r="CQ6" i="11"/>
  <c r="CS5" i="11" l="1"/>
  <c r="CR6" i="11"/>
  <c r="CT5" i="11" l="1"/>
  <c r="CS6" i="11"/>
  <c r="CU5" i="11" l="1"/>
  <c r="CT6" i="11"/>
  <c r="CV5" i="11" l="1"/>
  <c r="CV6" i="11" s="1"/>
  <c r="CU6" i="11"/>
</calcChain>
</file>

<file path=xl/sharedStrings.xml><?xml version="1.0" encoding="utf-8"?>
<sst xmlns="http://schemas.openxmlformats.org/spreadsheetml/2006/main" count="286" uniqueCount="167">
  <si>
    <t>Cree una programación para un proyecto en esta hoja de cálculo.
Escriba el título de este proyecto en la celda B1. 
Para obtener información sobre cómo usar esta hoja de cálculo, incluidas las instrucciones para lectores de pantalla y el nombre del autor de este libro, vea la hoja de cálculo Información.
Desplácese hacia abajo por la columna A para escuchar más instrucciones.</t>
  </si>
  <si>
    <t>Escriba el nombre de la compañía en la celda B2.</t>
  </si>
  <si>
    <t>Escriba el nombre del responsable del proyecto en la celda B3. Escriba la fecha de comienzo del proyecto en la celda E3. Inicio del proyecto: la etiqueta se encuentra en la celda C3.</t>
  </si>
  <si>
    <t>La semana que se muestra en la celda E4 representa la semana inicial para mostrar en la programación del proyecto en la celda I4. La fecha de inicio del proyecto se considera la semana 1. Para cambiar semana que se muestra, simplemente escriba un número de semana nuevo en la celda E4.
La fecha de inicio de cada semana, comenzando por la semana mostrada en la celda E4, comienza en la celda I4 y se calcula automáticamente. Hay 8 semanas representadas en esta vista desde la celda I4 hasta la celda BF4.
No debería modificar estas celdas.
La etiqueta de la semana para mostrar se encuentra en la celda C4.</t>
  </si>
  <si>
    <t>Las celdas I5 a BL5 contienen el número de días de la semana representado en el bloque de celdas encima de cada celda de fecha y se calculan automáticamente.
No debería modificar estas celdas.
La fecha actual está rodeada con una línea roja (hex. AD3815) desde la fecha actual en la fila 5 hasta toda la columna de fechas y el fin de la programación del proyecto.</t>
  </si>
  <si>
    <t xml:space="preserve">No elimine esta fila. Esta fila está oculta para conservar una fórmula que se usa para resaltar el día actual dentro de la programación del proyecto. </t>
  </si>
  <si>
    <t>TAREA</t>
  </si>
  <si>
    <t>Inicio del proyecto:</t>
  </si>
  <si>
    <t>Semana para mostrar:</t>
  </si>
  <si>
    <t>ASIGNADO
A</t>
  </si>
  <si>
    <t>PROGRESO</t>
  </si>
  <si>
    <t>INICIO</t>
  </si>
  <si>
    <t>FIN</t>
  </si>
  <si>
    <t>DÍAS</t>
  </si>
  <si>
    <t>Sebastián Miranda</t>
  </si>
  <si>
    <t>Matriz de riesgos</t>
  </si>
  <si>
    <t>Carta Gantt</t>
  </si>
  <si>
    <t>Fase 1 - Planificación Inicial</t>
  </si>
  <si>
    <t>MPV Web - Ingreso del vehiculo al taller</t>
  </si>
  <si>
    <t>PepsiCo</t>
  </si>
  <si>
    <t>Fase 2 - Análisis</t>
  </si>
  <si>
    <t>Redacción de requerimientos</t>
  </si>
  <si>
    <t>Trazar RF/RNF</t>
  </si>
  <si>
    <t>Fase 3 - Diseño</t>
  </si>
  <si>
    <t>Fase 4 - Construcción</t>
  </si>
  <si>
    <t>Desarrollo Base de Datos</t>
  </si>
  <si>
    <t>Vistas según usuario</t>
  </si>
  <si>
    <t>Búsqueda / filtros</t>
  </si>
  <si>
    <t>Datos de prueba</t>
  </si>
  <si>
    <t>Ajustes UX</t>
  </si>
  <si>
    <t>Desplegable mvp</t>
  </si>
  <si>
    <t>Guillermo</t>
  </si>
  <si>
    <t>Sebastián</t>
  </si>
  <si>
    <t>Guillermo / Sebastián</t>
  </si>
  <si>
    <t>Fase 5 - Pruebas</t>
  </si>
  <si>
    <t>Fase 6 - Implementación y capacitación</t>
  </si>
  <si>
    <t>Publicación web + accesos</t>
  </si>
  <si>
    <t>Usuario y administrador</t>
  </si>
  <si>
    <t>Redacción y firma</t>
  </si>
  <si>
    <t>Ordenar repositorio y entregar documentación</t>
  </si>
  <si>
    <t>Fase 7 - Cierre</t>
  </si>
  <si>
    <t>Sebastián / Guillermo</t>
  </si>
  <si>
    <t>ID</t>
  </si>
  <si>
    <t>1.1</t>
  </si>
  <si>
    <t>1.2</t>
  </si>
  <si>
    <t>1.3</t>
  </si>
  <si>
    <t>1.4</t>
  </si>
  <si>
    <t>1.5</t>
  </si>
  <si>
    <t>1.6</t>
  </si>
  <si>
    <t>2.1</t>
  </si>
  <si>
    <t>2.2</t>
  </si>
  <si>
    <t>3.1</t>
  </si>
  <si>
    <t>3.2</t>
  </si>
  <si>
    <t>3.3</t>
  </si>
  <si>
    <t>3.4</t>
  </si>
  <si>
    <t>3.5</t>
  </si>
  <si>
    <t>4.1</t>
  </si>
  <si>
    <t>4.2</t>
  </si>
  <si>
    <t>4.3</t>
  </si>
  <si>
    <t>4.4</t>
  </si>
  <si>
    <t>4.5</t>
  </si>
  <si>
    <t>4.6</t>
  </si>
  <si>
    <t>4.7</t>
  </si>
  <si>
    <t>5.1</t>
  </si>
  <si>
    <t>5.2</t>
  </si>
  <si>
    <t>5.3</t>
  </si>
  <si>
    <t>5.4</t>
  </si>
  <si>
    <t>5.5</t>
  </si>
  <si>
    <t>5.6</t>
  </si>
  <si>
    <t>6.1</t>
  </si>
  <si>
    <t>6.2</t>
  </si>
  <si>
    <t>7.1</t>
  </si>
  <si>
    <t>7.2</t>
  </si>
  <si>
    <t>HITO</t>
  </si>
  <si>
    <t>SI</t>
  </si>
  <si>
    <t>No</t>
  </si>
  <si>
    <t>Qué se hará</t>
  </si>
  <si>
    <t>Definir RACI</t>
  </si>
  <si>
    <t>Cargar tareas, duraciones, dependencias y responsables; marcar hitos y ruta crítica; publicar y definir rutina de actualización.</t>
  </si>
  <si>
    <t>Listar actividades clave y asignar R/A/C/I; resolver ambigüedades y publicar matriz validada.</t>
  </si>
  <si>
    <t>Identificar riesgos (técnicos, plazos, datos), valorar probabilidad/impacto, definir respuestas y dueños; abrir registro y plan de seguimiento.</t>
  </si>
  <si>
    <t>Escribir RF y RNF con identificadores, reglas de negocio y criterios de aceptación; consolidar con evidencia del levantamiento.</t>
  </si>
  <si>
    <t>Construir la matriz de trazabilidad RF/RNF ↔ casos de uso ↔ casos de prueba; detectar vacíos o inconsistencias y corregir.</t>
  </si>
  <si>
    <t>Modelar entidades (Vehículo, OT, Tarea, Evidencia, Usuario), definir claves/índices, relaciones y políticas de retención; preparar script/colecciones iniciales.</t>
  </si>
  <si>
    <t>Diagramar arquitectura (frontend, API, base de datos, almacenamiento de evidencias y autenticación) con flujos y controles de seguridad.</t>
  </si>
  <si>
    <t>Definir RBAC por rol y el flujo de URLs firmadas de subida/descarga a storage privado; documentar expiración, permisos y auditoría.</t>
  </si>
  <si>
    <t>Diseñar el alcance funcional de cada módulo (KPIs del tablero, estados de OT/tarea, metadatos de evidencias, consultas de reportes).</t>
  </si>
  <si>
    <t>Seleccionar escenarios representativos, preparar dataset semilla y definir casos de prueba base para validación temprana.</t>
  </si>
  <si>
    <t>Implementar esquema/colecciones, validaciones y seeds; crear vistas/consultas necesarias para reportes.</t>
  </si>
  <si>
    <t>Maquetar vistas base (login, dashboard, bitácora, OT/tareas), estados de carga/errores y navegación.</t>
  </si>
  <si>
    <t>Poblar ambiente con dataset realista (vehículos, OTs, tareas, evidencias) y scripts reproducibles.</t>
  </si>
  <si>
    <t>Corregir textos, tamaños, flujo de clics, accesibilidad y tiempos de carga percibida según feedback.</t>
  </si>
  <si>
    <t>Preparar build y variables; publicar FE/API; ejecutar pruebas de humo y definir plan de rollback/backups.</t>
  </si>
  <si>
    <t>Ejecutar casos por RF crítico, evidenciar resultados y registrar defectos con prioridad; re-test tras correcciones.</t>
  </si>
  <si>
    <t>Probar disponibilidad básica y reintentos; medir tiempos de respuesta y comportamiento ante fallas controladas.</t>
  </si>
  <si>
    <t>Probar RBAC, caducidad de token, acceso a evidencias por URL firmada, exposición de datos; documentar hallazgos.</t>
  </si>
  <si>
    <t>Instrumentar mediciones; obtener p50/p95 por vista/endpoint con dataset semilla; identificar y aplicar mejoras.</t>
  </si>
  <si>
    <t>Cerrar críticos/altos, re-test final, consolidar métricas y emitir informe de pruebas con estado del MVP.</t>
  </si>
  <si>
    <t>Entregar URL, crear usuarios iniciales y confirmar acceso por rol; checklist de humo en producción.</t>
  </si>
  <si>
    <t>Redactar manuales (usuario/administrador) con capturas y resolución de problemas frecuentes.</t>
  </si>
  <si>
    <t>Redactar acta de cierre con resultados, lecciones aprendidas y pendientes; obtener firmas y publicar.</t>
  </si>
  <si>
    <t>Estructurar carpetas por fases, subir versiones finales (PDF/ZIP), verificar enlaces/permisos y entregar índice maestro.</t>
  </si>
  <si>
    <t>Script inicial BBDD</t>
  </si>
  <si>
    <t>RBAC</t>
  </si>
  <si>
    <t>Mockups</t>
  </si>
  <si>
    <t>BPM</t>
  </si>
  <si>
    <t>3.6</t>
  </si>
  <si>
    <t>Diagrama Casos de Uso General</t>
  </si>
  <si>
    <t>Diagrama Casos de Uso Principales</t>
  </si>
  <si>
    <t>Diagrama E.R.</t>
  </si>
  <si>
    <t>Sebastian</t>
  </si>
  <si>
    <t>2.3</t>
  </si>
  <si>
    <t>3.7</t>
  </si>
  <si>
    <t>Acta de constitución</t>
  </si>
  <si>
    <t>Plan de Proyecto</t>
  </si>
  <si>
    <t xml:space="preserve">EDT </t>
  </si>
  <si>
    <t>Diccionario EDT</t>
  </si>
  <si>
    <t>Doc. Casos de uso</t>
  </si>
  <si>
    <t>1.3.1</t>
  </si>
  <si>
    <t xml:space="preserve">RACI </t>
  </si>
  <si>
    <t>Matriz de riesgos y Plan de comunicación</t>
  </si>
  <si>
    <t>3.8</t>
  </si>
  <si>
    <t>Plan de pruebas inicial</t>
  </si>
  <si>
    <t>Acta de cierre</t>
  </si>
  <si>
    <t>Manual Usuario y administrador</t>
  </si>
  <si>
    <t>Despliegue Final</t>
  </si>
  <si>
    <t>Correcciones; reporte de pruebas (0 críticos)</t>
  </si>
  <si>
    <t>Modulo Evidencia</t>
  </si>
  <si>
    <t>Modulo Analista</t>
  </si>
  <si>
    <t>Modulo OT</t>
  </si>
  <si>
    <t>Modulo Tarea</t>
  </si>
  <si>
    <t>4.2.1</t>
  </si>
  <si>
    <t>4.2.2</t>
  </si>
  <si>
    <t>4.2.3</t>
  </si>
  <si>
    <t>4.2.4</t>
  </si>
  <si>
    <t>4.2.5</t>
  </si>
  <si>
    <t>Modulo Administrador</t>
  </si>
  <si>
    <t>4.2.6</t>
  </si>
  <si>
    <t>Modulo Porteria</t>
  </si>
  <si>
    <t>Exportar Reportes CSV/PDF</t>
  </si>
  <si>
    <t>Datos de Prueba</t>
  </si>
  <si>
    <t>Pruebas Unitarias</t>
  </si>
  <si>
    <t>Pruebas Rendimiento Usuarios</t>
  </si>
  <si>
    <t>Pruebas Seguridad</t>
  </si>
  <si>
    <t>Pruebas Rendimiento Light House</t>
  </si>
  <si>
    <t>Desarrollo Frontend</t>
  </si>
  <si>
    <t>Desarrollo Backend API</t>
  </si>
  <si>
    <t>4.3.1</t>
  </si>
  <si>
    <t>4.3.2</t>
  </si>
  <si>
    <t>Pruebas de rendimiento Usuarios</t>
  </si>
  <si>
    <t>Pruebas de rendimiento Light House</t>
  </si>
  <si>
    <t>Correcciones; reportes de pruebas</t>
  </si>
  <si>
    <t>Implementar endpoints (registro por patente, OT, tareas, evidencia), validaciones, manejo de errores y pruebas con Postman. Conectar API a la base, parametrizar credenciales/variables de entorno y probar consultas con datos reales/semilla.</t>
  </si>
  <si>
    <t>Desarrollo API + BBDD</t>
  </si>
  <si>
    <t>Frontend Responsivo</t>
  </si>
  <si>
    <t>Implementar exportación de listados a CSV/PDF con formato legible y metadatos (fecha, filtro aplicado). Construir listados con totales/agrupaciones y parámetros (rango de fechas, área, estado); optimizar consultas.</t>
  </si>
  <si>
    <t>Exportación CSV/PDF Listados de reportes</t>
  </si>
  <si>
    <t>Modelado de Datos</t>
  </si>
  <si>
    <t>Diseño Seguridad</t>
  </si>
  <si>
    <t>Arquitectura FE/API/DB/Storage/Auth</t>
  </si>
  <si>
    <t>Plan de Pruebas Inicial</t>
  </si>
  <si>
    <t>Documentado Casos de Uso</t>
  </si>
  <si>
    <t>Construir los casos de uso generales y por actor.</t>
  </si>
  <si>
    <t>Desglosar el trabajo en niveles 1–3, asignar códigos WBS y vincular cada paquete con su entregable y responsable. Para cada paquete del EDT, documentar propósito, entradas/salidas, recursos, criterios de término y responsable.</t>
  </si>
  <si>
    <t>Esqueleto EDT y diccionario</t>
  </si>
  <si>
    <t>Delimitar el MVP (módulos, actores, lo que incluye/excluye), supuestos y restricciones; consensuarlo con usuarios clave y docente y dejar versión aprobada.        Redactar objetivo, justificación, alcance alto nivel, hitos, roles/autoridad, riesgos iniciales y presupuesto; circular, revisar y obtener firmas.</t>
  </si>
  <si>
    <t>Define cómo se organizará, ejecutará, supervisará y controlará el MVP de Ingreso a Taller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</si>
</sst>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164" formatCode="_-* #,##0\ &quot;€&quot;_-;\-* #,##0\ &quot;€&quot;_-;_-* &quot;-&quot;\ &quot;€&quot;_-;_-@_-"/>
    <numFmt numFmtId="165" formatCode="_-* #,##0.00\ &quot;€&quot;_-;\-* #,##0.00\ &quot;€&quot;_-;_-* &quot;-&quot;??\ &quot;€&quot;_-;_-@_-"/>
    <numFmt numFmtId="166" formatCode="_(* #,##0_);_(* \(#,##0\);_(* &quot;-&quot;_);_(@_)"/>
    <numFmt numFmtId="167" formatCode="_(* #,##0.00_);_(* \(#,##0.00\);_(* &quot;-&quot;??_);_(@_)"/>
    <numFmt numFmtId="168" formatCode="ddd\,\ m/d/yyyy"/>
    <numFmt numFmtId="169" formatCode="[$-C0A]d\ &quot;de&quot;\ mmmm\ &quot;de&quot;\ yyyy;@"/>
    <numFmt numFmtId="170" formatCode="d\-m\-yy;@"/>
    <numFmt numFmtId="171" formatCode="d"/>
  </numFmts>
  <fonts count="29"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1"/>
      <name val="Calibri"/>
      <family val="2"/>
      <scheme val="minor"/>
    </font>
    <font>
      <b/>
      <sz val="11"/>
      <color theme="1"/>
      <name val="Calibri"/>
      <family val="2"/>
      <scheme val="minor"/>
    </font>
    <font>
      <b/>
      <sz val="9"/>
      <color theme="0"/>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sz val="11"/>
      <color theme="0"/>
      <name val="Calibri"/>
      <family val="2"/>
      <scheme val="minor"/>
    </font>
    <font>
      <b/>
      <sz val="11"/>
      <name val="Calibri"/>
      <family val="2"/>
      <scheme val="minor"/>
    </font>
    <font>
      <sz val="10"/>
      <name val="Arial"/>
      <family val="2"/>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8"/>
      <name val="Calibri"/>
      <family val="2"/>
      <scheme val="minor"/>
    </font>
    <font>
      <sz val="14"/>
      <color rgb="FF000000"/>
      <name val="Calibri"/>
      <family val="2"/>
      <scheme val="minor"/>
    </font>
  </fonts>
  <fills count="46">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tint="0.499984740745262"/>
        <bgColor indexed="64"/>
      </patternFill>
    </fill>
  </fills>
  <borders count="18">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54">
    <xf numFmtId="0" fontId="0" fillId="0" borderId="0"/>
    <xf numFmtId="0" fontId="3" fillId="0" borderId="0" applyNumberFormat="0" applyFill="0" applyBorder="0" applyAlignment="0" applyProtection="0">
      <alignment vertical="top"/>
      <protection locked="0"/>
    </xf>
    <xf numFmtId="9" fontId="7" fillId="0" borderId="0" applyFont="0" applyFill="0" applyBorder="0" applyAlignment="0" applyProtection="0"/>
    <xf numFmtId="0" fontId="12" fillId="0" borderId="0"/>
    <xf numFmtId="167" fontId="7" fillId="0" borderId="3" applyFont="0" applyFill="0" applyAlignment="0" applyProtection="0"/>
    <xf numFmtId="0" fontId="11" fillId="0" borderId="0" applyNumberFormat="0" applyFill="0" applyBorder="0" applyAlignment="0" applyProtection="0"/>
    <xf numFmtId="0" fontId="8" fillId="0" borderId="0" applyNumberFormat="0" applyFill="0" applyAlignment="0" applyProtection="0"/>
    <xf numFmtId="0" fontId="8" fillId="0" borderId="0" applyNumberFormat="0" applyFill="0" applyProtection="0">
      <alignment vertical="top"/>
    </xf>
    <xf numFmtId="0" fontId="7" fillId="0" borderId="0" applyNumberFormat="0" applyFill="0" applyProtection="0">
      <alignment horizontal="right" indent="1"/>
    </xf>
    <xf numFmtId="168" fontId="7" fillId="0" borderId="3">
      <alignment horizontal="center" vertical="center"/>
    </xf>
    <xf numFmtId="170" fontId="7" fillId="0" borderId="2" applyFill="0">
      <alignment horizontal="center" vertical="center"/>
    </xf>
    <xf numFmtId="0" fontId="7" fillId="0" borderId="2" applyFill="0">
      <alignment horizontal="center" vertical="center"/>
    </xf>
    <xf numFmtId="0" fontId="7" fillId="0" borderId="2" applyFill="0">
      <alignment horizontal="left" vertical="center" indent="2"/>
    </xf>
    <xf numFmtId="0" fontId="15" fillId="0" borderId="0" applyNumberFormat="0" applyFill="0" applyBorder="0" applyAlignment="0" applyProtection="0"/>
    <xf numFmtId="166" fontId="7" fillId="0" borderId="0" applyFont="0" applyFill="0" applyBorder="0" applyAlignment="0" applyProtection="0"/>
    <xf numFmtId="165" fontId="7" fillId="0" borderId="0" applyFont="0" applyFill="0" applyBorder="0" applyAlignment="0" applyProtection="0"/>
    <xf numFmtId="164" fontId="7" fillId="0" borderId="0" applyFont="0" applyFill="0" applyBorder="0" applyAlignment="0" applyProtection="0"/>
    <xf numFmtId="0" fontId="16" fillId="0" borderId="0" applyNumberFormat="0" applyFill="0" applyBorder="0" applyAlignment="0" applyProtection="0"/>
    <xf numFmtId="0" fontId="17" fillId="14" borderId="0" applyNumberFormat="0" applyBorder="0" applyAlignment="0" applyProtection="0"/>
    <xf numFmtId="0" fontId="18" fillId="15" borderId="0" applyNumberFormat="0" applyBorder="0" applyAlignment="0" applyProtection="0"/>
    <xf numFmtId="0" fontId="19" fillId="16" borderId="0" applyNumberFormat="0" applyBorder="0" applyAlignment="0" applyProtection="0"/>
    <xf numFmtId="0" fontId="20" fillId="17" borderId="11" applyNumberFormat="0" applyAlignment="0" applyProtection="0"/>
    <xf numFmtId="0" fontId="21" fillId="18" borderId="12" applyNumberFormat="0" applyAlignment="0" applyProtection="0"/>
    <xf numFmtId="0" fontId="22" fillId="18" borderId="11" applyNumberFormat="0" applyAlignment="0" applyProtection="0"/>
    <xf numFmtId="0" fontId="23" fillId="0" borderId="13" applyNumberFormat="0" applyFill="0" applyAlignment="0" applyProtection="0"/>
    <xf numFmtId="0" fontId="24" fillId="19" borderId="14" applyNumberFormat="0" applyAlignment="0" applyProtection="0"/>
    <xf numFmtId="0" fontId="25" fillId="0" borderId="0" applyNumberFormat="0" applyFill="0" applyBorder="0" applyAlignment="0" applyProtection="0"/>
    <xf numFmtId="0" fontId="7" fillId="20" borderId="15" applyNumberFormat="0" applyFont="0" applyAlignment="0" applyProtection="0"/>
    <xf numFmtId="0" fontId="26" fillId="0" borderId="0" applyNumberFormat="0" applyFill="0" applyBorder="0" applyAlignment="0" applyProtection="0"/>
    <xf numFmtId="0" fontId="5" fillId="0" borderId="16" applyNumberFormat="0" applyFill="0" applyAlignment="0" applyProtection="0"/>
    <xf numFmtId="0" fontId="12" fillId="21" borderId="0" applyNumberFormat="0" applyBorder="0" applyAlignment="0" applyProtection="0"/>
    <xf numFmtId="0" fontId="7" fillId="22"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12" fillId="25" borderId="0" applyNumberFormat="0" applyBorder="0" applyAlignment="0" applyProtection="0"/>
    <xf numFmtId="0" fontId="7" fillId="26"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12" fillId="29" borderId="0" applyNumberFormat="0" applyBorder="0" applyAlignment="0" applyProtection="0"/>
    <xf numFmtId="0" fontId="7" fillId="30"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12" fillId="33" borderId="0" applyNumberFormat="0" applyBorder="0" applyAlignment="0" applyProtection="0"/>
    <xf numFmtId="0" fontId="7" fillId="34" borderId="0" applyNumberFormat="0" applyBorder="0" applyAlignment="0" applyProtection="0"/>
    <xf numFmtId="0" fontId="7" fillId="35" borderId="0" applyNumberFormat="0" applyBorder="0" applyAlignment="0" applyProtection="0"/>
    <xf numFmtId="0" fontId="7" fillId="36" borderId="0" applyNumberFormat="0" applyBorder="0" applyAlignment="0" applyProtection="0"/>
    <xf numFmtId="0" fontId="12" fillId="37" borderId="0" applyNumberFormat="0" applyBorder="0" applyAlignment="0" applyProtection="0"/>
    <xf numFmtId="0" fontId="7" fillId="38" borderId="0" applyNumberFormat="0" applyBorder="0" applyAlignment="0" applyProtection="0"/>
    <xf numFmtId="0" fontId="7" fillId="39" borderId="0" applyNumberFormat="0" applyBorder="0" applyAlignment="0" applyProtection="0"/>
    <xf numFmtId="0" fontId="7" fillId="40" borderId="0" applyNumberFormat="0" applyBorder="0" applyAlignment="0" applyProtection="0"/>
    <xf numFmtId="0" fontId="12" fillId="41" borderId="0" applyNumberFormat="0" applyBorder="0" applyAlignment="0" applyProtection="0"/>
    <xf numFmtId="0" fontId="7" fillId="42" borderId="0" applyNumberFormat="0" applyBorder="0" applyAlignment="0" applyProtection="0"/>
    <xf numFmtId="0" fontId="7" fillId="43" borderId="0" applyNumberFormat="0" applyBorder="0" applyAlignment="0" applyProtection="0"/>
    <xf numFmtId="0" fontId="7" fillId="44" borderId="0" applyNumberFormat="0" applyBorder="0" applyAlignment="0" applyProtection="0"/>
  </cellStyleXfs>
  <cellXfs count="84">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3" xfId="0" applyBorder="1" applyAlignment="1">
      <alignment horizontal="center" vertical="center"/>
    </xf>
    <xf numFmtId="0" fontId="6" fillId="13" borderId="1" xfId="0" applyFont="1" applyFill="1" applyBorder="1" applyAlignment="1">
      <alignment horizontal="left" vertical="center" indent="1"/>
    </xf>
    <xf numFmtId="0" fontId="6" fillId="13" borderId="1" xfId="0" applyFont="1" applyFill="1" applyBorder="1" applyAlignment="1">
      <alignment horizontal="center" vertical="center" wrapText="1"/>
    </xf>
    <xf numFmtId="0" fontId="10" fillId="12" borderId="8" xfId="0" applyFont="1" applyFill="1" applyBorder="1" applyAlignment="1">
      <alignment horizontal="center" vertical="center" shrinkToFit="1"/>
    </xf>
    <xf numFmtId="0" fontId="4" fillId="0" borderId="2" xfId="0" applyFont="1" applyBorder="1" applyAlignment="1">
      <alignment horizontal="center" vertical="center"/>
    </xf>
    <xf numFmtId="0" fontId="5" fillId="8" borderId="2" xfId="0" applyFont="1" applyFill="1" applyBorder="1" applyAlignment="1">
      <alignment horizontal="left" vertical="center" indent="1"/>
    </xf>
    <xf numFmtId="9" fontId="4" fillId="8" borderId="2" xfId="2" applyFont="1" applyFill="1" applyBorder="1" applyAlignment="1">
      <alignment horizontal="center" vertical="center"/>
    </xf>
    <xf numFmtId="9" fontId="4" fillId="3" borderId="2" xfId="2" applyFont="1" applyFill="1" applyBorder="1" applyAlignment="1">
      <alignment horizontal="center" vertical="center"/>
    </xf>
    <xf numFmtId="0" fontId="5" fillId="9" borderId="2" xfId="0" applyFont="1" applyFill="1" applyBorder="1" applyAlignment="1">
      <alignment horizontal="left" vertical="center" indent="1"/>
    </xf>
    <xf numFmtId="9" fontId="4" fillId="9" borderId="2" xfId="2" applyFont="1" applyFill="1" applyBorder="1" applyAlignment="1">
      <alignment horizontal="center" vertical="center"/>
    </xf>
    <xf numFmtId="9" fontId="4" fillId="4" borderId="2" xfId="2" applyFont="1" applyFill="1" applyBorder="1" applyAlignment="1">
      <alignment horizontal="center" vertical="center"/>
    </xf>
    <xf numFmtId="0" fontId="5" fillId="6" borderId="2" xfId="0" applyFont="1" applyFill="1" applyBorder="1" applyAlignment="1">
      <alignment horizontal="left" vertical="center" indent="1"/>
    </xf>
    <xf numFmtId="9" fontId="4" fillId="6" borderId="2" xfId="2" applyFont="1" applyFill="1" applyBorder="1" applyAlignment="1">
      <alignment horizontal="center" vertical="center"/>
    </xf>
    <xf numFmtId="9" fontId="4" fillId="11" borderId="2" xfId="2" applyFont="1" applyFill="1" applyBorder="1" applyAlignment="1">
      <alignment horizontal="center" vertical="center"/>
    </xf>
    <xf numFmtId="0" fontId="5" fillId="5" borderId="2" xfId="0" applyFont="1" applyFill="1" applyBorder="1" applyAlignment="1">
      <alignment horizontal="left" vertical="center" indent="1"/>
    </xf>
    <xf numFmtId="9" fontId="4" fillId="5" borderId="2" xfId="2" applyFont="1" applyFill="1" applyBorder="1" applyAlignment="1">
      <alignment horizontal="center" vertical="center"/>
    </xf>
    <xf numFmtId="9" fontId="4" fillId="10" borderId="2" xfId="2" applyFont="1" applyFill="1" applyBorder="1" applyAlignment="1">
      <alignment horizontal="center" vertical="center"/>
    </xf>
    <xf numFmtId="0" fontId="4" fillId="2" borderId="2" xfId="0"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0" fillId="2" borderId="9" xfId="0" applyFill="1" applyBorder="1" applyAlignment="1">
      <alignment vertical="center"/>
    </xf>
    <xf numFmtId="0" fontId="2" fillId="0" borderId="0" xfId="0" applyFont="1" applyAlignment="1">
      <alignment horizontal="center" vertical="center"/>
    </xf>
    <xf numFmtId="0" fontId="12" fillId="0" borderId="0" xfId="3"/>
    <xf numFmtId="0" fontId="12" fillId="0" borderId="0" xfId="3" applyAlignment="1">
      <alignment wrapText="1"/>
    </xf>
    <xf numFmtId="0" fontId="0" fillId="0" borderId="0" xfId="0" applyAlignment="1">
      <alignment wrapText="1"/>
    </xf>
    <xf numFmtId="0" fontId="11" fillId="0" borderId="0" xfId="5" applyAlignment="1">
      <alignment horizontal="left"/>
    </xf>
    <xf numFmtId="0" fontId="8" fillId="0" borderId="0" xfId="6"/>
    <xf numFmtId="0" fontId="8" fillId="0" borderId="0" xfId="7">
      <alignment vertical="top"/>
    </xf>
    <xf numFmtId="0" fontId="7" fillId="8" borderId="2" xfId="11" applyFill="1">
      <alignment horizontal="center" vertical="center"/>
    </xf>
    <xf numFmtId="0" fontId="7" fillId="3" borderId="2" xfId="11" applyFill="1">
      <alignment horizontal="center" vertical="center"/>
    </xf>
    <xf numFmtId="0" fontId="7" fillId="9" borderId="2" xfId="11" applyFill="1">
      <alignment horizontal="center" vertical="center"/>
    </xf>
    <xf numFmtId="0" fontId="7" fillId="4" borderId="2" xfId="11" applyFill="1">
      <alignment horizontal="center" vertical="center"/>
    </xf>
    <xf numFmtId="0" fontId="7" fillId="6" borderId="2" xfId="11" applyFill="1">
      <alignment horizontal="center" vertical="center"/>
    </xf>
    <xf numFmtId="0" fontId="7" fillId="11" borderId="2" xfId="11" applyFill="1">
      <alignment horizontal="center" vertical="center"/>
    </xf>
    <xf numFmtId="0" fontId="7" fillId="5" borderId="2" xfId="11" applyFill="1">
      <alignment horizontal="center" vertical="center"/>
    </xf>
    <xf numFmtId="0" fontId="7" fillId="10" borderId="2" xfId="11" applyFill="1">
      <alignment horizontal="center" vertical="center"/>
    </xf>
    <xf numFmtId="0" fontId="7" fillId="3" borderId="2" xfId="12" applyFill="1">
      <alignment horizontal="left" vertical="center" indent="2"/>
    </xf>
    <xf numFmtId="0" fontId="7" fillId="4" borderId="2" xfId="12" applyFill="1">
      <alignment horizontal="left" vertical="center" indent="2"/>
    </xf>
    <xf numFmtId="0" fontId="7" fillId="11" borderId="2" xfId="12" applyFill="1">
      <alignment horizontal="left" vertical="center" indent="2"/>
    </xf>
    <xf numFmtId="0" fontId="7" fillId="10" borderId="2" xfId="12" applyFill="1">
      <alignment horizontal="left" vertical="center" indent="2"/>
    </xf>
    <xf numFmtId="0" fontId="0" fillId="0" borderId="10" xfId="0" applyBorder="1"/>
    <xf numFmtId="0" fontId="13" fillId="0" borderId="0" xfId="0" applyFont="1"/>
    <xf numFmtId="0" fontId="14" fillId="0" borderId="0" xfId="1" applyFont="1" applyProtection="1">
      <alignment vertical="top"/>
    </xf>
    <xf numFmtId="170" fontId="0" fillId="8" borderId="2" xfId="0" applyNumberFormat="1" applyFill="1" applyBorder="1" applyAlignment="1">
      <alignment horizontal="center" vertical="center"/>
    </xf>
    <xf numFmtId="170" fontId="4" fillId="8" borderId="2" xfId="0" applyNumberFormat="1" applyFont="1" applyFill="1" applyBorder="1" applyAlignment="1">
      <alignment horizontal="center" vertical="center"/>
    </xf>
    <xf numFmtId="170" fontId="0" fillId="9" borderId="2" xfId="0" applyNumberFormat="1" applyFill="1" applyBorder="1" applyAlignment="1">
      <alignment horizontal="center" vertical="center"/>
    </xf>
    <xf numFmtId="170" fontId="4" fillId="9" borderId="2" xfId="0" applyNumberFormat="1" applyFont="1" applyFill="1" applyBorder="1" applyAlignment="1">
      <alignment horizontal="center" vertical="center"/>
    </xf>
    <xf numFmtId="170" fontId="0" fillId="6" borderId="2" xfId="0" applyNumberFormat="1" applyFill="1" applyBorder="1" applyAlignment="1">
      <alignment horizontal="center" vertical="center"/>
    </xf>
    <xf numFmtId="170" fontId="4" fillId="6" borderId="2" xfId="0" applyNumberFormat="1" applyFont="1" applyFill="1" applyBorder="1" applyAlignment="1">
      <alignment horizontal="center" vertical="center"/>
    </xf>
    <xf numFmtId="170" fontId="7" fillId="11" borderId="2" xfId="10" applyFill="1">
      <alignment horizontal="center" vertical="center"/>
    </xf>
    <xf numFmtId="170" fontId="0" fillId="5" borderId="2" xfId="0" applyNumberFormat="1" applyFill="1" applyBorder="1" applyAlignment="1">
      <alignment horizontal="center" vertical="center"/>
    </xf>
    <xf numFmtId="170" fontId="4" fillId="5" borderId="2" xfId="0" applyNumberFormat="1" applyFont="1" applyFill="1" applyBorder="1" applyAlignment="1">
      <alignment horizontal="center" vertical="center"/>
    </xf>
    <xf numFmtId="171" fontId="9" fillId="7" borderId="6" xfId="0" applyNumberFormat="1" applyFont="1" applyFill="1" applyBorder="1" applyAlignment="1">
      <alignment horizontal="center" vertical="center"/>
    </xf>
    <xf numFmtId="171" fontId="9" fillId="7" borderId="0" xfId="0" applyNumberFormat="1" applyFont="1" applyFill="1" applyAlignment="1">
      <alignment horizontal="center" vertical="center"/>
    </xf>
    <xf numFmtId="171" fontId="9" fillId="7" borderId="7" xfId="0" applyNumberFormat="1" applyFont="1" applyFill="1" applyBorder="1" applyAlignment="1">
      <alignment horizontal="center" vertical="center"/>
    </xf>
    <xf numFmtId="170" fontId="7" fillId="3" borderId="2" xfId="10" applyFill="1">
      <alignment horizontal="center" vertical="center"/>
    </xf>
    <xf numFmtId="170" fontId="7" fillId="4" borderId="2" xfId="10" applyFill="1">
      <alignment horizontal="center" vertical="center"/>
    </xf>
    <xf numFmtId="170" fontId="7" fillId="10" borderId="2" xfId="10" applyFill="1">
      <alignment horizontal="center" vertical="center"/>
    </xf>
    <xf numFmtId="0" fontId="7" fillId="3" borderId="2" xfId="12" applyFill="1" applyAlignment="1">
      <alignment horizontal="left" vertical="center" wrapText="1" indent="2"/>
    </xf>
    <xf numFmtId="0" fontId="12" fillId="45" borderId="0" xfId="3" applyFill="1" applyAlignment="1">
      <alignment wrapText="1"/>
    </xf>
    <xf numFmtId="0" fontId="12" fillId="45" borderId="0" xfId="3" applyFill="1" applyAlignment="1">
      <alignment horizontal="center" wrapText="1"/>
    </xf>
    <xf numFmtId="0" fontId="5" fillId="9" borderId="2" xfId="0" applyFont="1" applyFill="1" applyBorder="1" applyAlignment="1">
      <alignment horizontal="left" vertical="center" wrapText="1" indent="1"/>
    </xf>
    <xf numFmtId="0" fontId="7" fillId="4" borderId="2" xfId="12" applyFill="1" applyAlignment="1">
      <alignment horizontal="left" vertical="center" wrapText="1" indent="2"/>
    </xf>
    <xf numFmtId="0" fontId="5" fillId="6" borderId="2" xfId="0" applyFont="1" applyFill="1" applyBorder="1" applyAlignment="1">
      <alignment horizontal="left" vertical="center" wrapText="1" indent="1"/>
    </xf>
    <xf numFmtId="0" fontId="7" fillId="11" borderId="2" xfId="12" applyFill="1" applyAlignment="1">
      <alignment horizontal="left" vertical="center" wrapText="1" indent="2"/>
    </xf>
    <xf numFmtId="0" fontId="5" fillId="5" borderId="2" xfId="0" applyFont="1" applyFill="1" applyBorder="1" applyAlignment="1">
      <alignment horizontal="left" vertical="center" wrapText="1" indent="1"/>
    </xf>
    <xf numFmtId="0" fontId="7" fillId="10" borderId="2" xfId="12" applyFill="1" applyAlignment="1">
      <alignment horizontal="left" vertical="center" wrapText="1" indent="2"/>
    </xf>
    <xf numFmtId="0" fontId="5" fillId="8" borderId="2" xfId="0" applyFont="1" applyFill="1" applyBorder="1" applyAlignment="1">
      <alignment horizontal="left" vertical="center" wrapText="1" indent="1"/>
    </xf>
    <xf numFmtId="0" fontId="0" fillId="0" borderId="17" xfId="0" applyBorder="1"/>
    <xf numFmtId="0" fontId="0" fillId="0" borderId="17" xfId="0" applyBorder="1" applyAlignment="1">
      <alignment wrapText="1"/>
    </xf>
    <xf numFmtId="0" fontId="28" fillId="45" borderId="17" xfId="0" applyFont="1" applyFill="1" applyBorder="1"/>
    <xf numFmtId="0" fontId="28" fillId="45" borderId="17" xfId="0" applyFont="1" applyFill="1" applyBorder="1" applyAlignment="1">
      <alignment wrapText="1"/>
    </xf>
    <xf numFmtId="169" fontId="0" fillId="7" borderId="4" xfId="0" applyNumberFormat="1" applyFill="1" applyBorder="1" applyAlignment="1">
      <alignment horizontal="left" vertical="center" wrapText="1" indent="1"/>
    </xf>
    <xf numFmtId="169" fontId="0" fillId="7" borderId="1" xfId="0" applyNumberFormat="1" applyFill="1" applyBorder="1" applyAlignment="1">
      <alignment horizontal="left" vertical="center" wrapText="1" indent="1"/>
    </xf>
    <xf numFmtId="169" fontId="0" fillId="7" borderId="5" xfId="0" applyNumberFormat="1" applyFill="1" applyBorder="1" applyAlignment="1">
      <alignment horizontal="left" vertical="center" wrapText="1" indent="1"/>
    </xf>
    <xf numFmtId="168" fontId="7" fillId="0" borderId="3" xfId="9">
      <alignment horizontal="center" vertical="center"/>
    </xf>
    <xf numFmtId="0" fontId="7" fillId="0" borderId="0" xfId="8">
      <alignment horizontal="right" indent="1"/>
    </xf>
    <xf numFmtId="0" fontId="7" fillId="0" borderId="7" xfId="8" applyBorder="1">
      <alignment horizontal="right" indent="1"/>
    </xf>
  </cellXfs>
  <cellStyles count="54">
    <cellStyle name="20% - Énfasis1" xfId="31" builtinId="30" customBuiltin="1"/>
    <cellStyle name="20% - Énfasis2" xfId="35" builtinId="34" customBuiltin="1"/>
    <cellStyle name="20% - Énfasis3" xfId="39" builtinId="38" customBuiltin="1"/>
    <cellStyle name="20% - Énfasis4" xfId="43" builtinId="42" customBuiltin="1"/>
    <cellStyle name="20% - Énfasis5" xfId="47" builtinId="46" customBuiltin="1"/>
    <cellStyle name="20% - Énfasis6" xfId="51" builtinId="50" customBuiltin="1"/>
    <cellStyle name="40% - Énfasis1" xfId="32" builtinId="31" customBuiltin="1"/>
    <cellStyle name="40% - Énfasis2" xfId="36" builtinId="35" customBuiltin="1"/>
    <cellStyle name="40% - Énfasis3" xfId="40" builtinId="39" customBuiltin="1"/>
    <cellStyle name="40% - Énfasis4" xfId="44" builtinId="43" customBuiltin="1"/>
    <cellStyle name="40% - Énfasis5" xfId="48" builtinId="47" customBuiltin="1"/>
    <cellStyle name="40% - Énfasis6" xfId="52" builtinId="51" customBuiltin="1"/>
    <cellStyle name="60% - Énfasis1" xfId="33" builtinId="32" customBuiltin="1"/>
    <cellStyle name="60% - Énfasis2" xfId="37" builtinId="36" customBuiltin="1"/>
    <cellStyle name="60% - Énfasis3" xfId="41" builtinId="40" customBuiltin="1"/>
    <cellStyle name="60% - Énfasis4" xfId="45" builtinId="44" customBuiltin="1"/>
    <cellStyle name="60% - Énfasis5" xfId="49" builtinId="48" customBuiltin="1"/>
    <cellStyle name="60% - Énfasis6" xfId="53" builtinId="52" customBuiltin="1"/>
    <cellStyle name="Bueno" xfId="18" builtinId="26" customBuiltin="1"/>
    <cellStyle name="Cálculo" xfId="23" builtinId="22" customBuiltin="1"/>
    <cellStyle name="Celda de comprobación" xfId="25" builtinId="23" customBuiltin="1"/>
    <cellStyle name="Celda vinculada" xfId="24" builtinId="24" customBuiltin="1"/>
    <cellStyle name="Encabezado 1" xfId="6" builtinId="16" customBuiltin="1"/>
    <cellStyle name="Encabezado 4" xfId="17" builtinId="19" customBuiltin="1"/>
    <cellStyle name="Énfasis1" xfId="30" builtinId="29" customBuiltin="1"/>
    <cellStyle name="Énfasis2" xfId="34" builtinId="33" customBuiltin="1"/>
    <cellStyle name="Énfasis3" xfId="38" builtinId="37" customBuiltin="1"/>
    <cellStyle name="Énfasis4" xfId="42" builtinId="41" customBuiltin="1"/>
    <cellStyle name="Énfasis5" xfId="46" builtinId="45" customBuiltin="1"/>
    <cellStyle name="Énfasis6" xfId="50" builtinId="49" customBuiltin="1"/>
    <cellStyle name="Entrada" xfId="21" builtinId="20" customBuiltin="1"/>
    <cellStyle name="Fecha" xfId="10" xr:uid="{229918B6-DD13-4F5A-97B9-305F7E002AA3}"/>
    <cellStyle name="Hipervínculo" xfId="1" builtinId="8" customBuiltin="1"/>
    <cellStyle name="Hipervínculo visitado" xfId="13" builtinId="9" customBuiltin="1"/>
    <cellStyle name="Incorrecto" xfId="19" builtinId="27" customBuiltin="1"/>
    <cellStyle name="Inicio del proyecto" xfId="9" xr:uid="{8EB8A09A-C31C-40A3-B2C1-9449520178B8}"/>
    <cellStyle name="Millares" xfId="4" builtinId="3" customBuiltin="1"/>
    <cellStyle name="Millares [0]" xfId="14" builtinId="6" customBuiltin="1"/>
    <cellStyle name="Moneda" xfId="15" builtinId="4" customBuiltin="1"/>
    <cellStyle name="Moneda [0]" xfId="16" builtinId="7" customBuiltin="1"/>
    <cellStyle name="Neutral" xfId="20" builtinId="28" customBuiltin="1"/>
    <cellStyle name="Nombre" xfId="11" xr:uid="{B2D3C1EE-6B41-4801-AAFC-C2274E49E503}"/>
    <cellStyle name="Normal" xfId="0" builtinId="0" customBuiltin="1"/>
    <cellStyle name="Notas" xfId="27" builtinId="10" customBuiltin="1"/>
    <cellStyle name="Porcentaje" xfId="2" builtinId="5" customBuiltin="1"/>
    <cellStyle name="Salida" xfId="22" builtinId="21" customBuiltin="1"/>
    <cellStyle name="Tarea" xfId="12" xr:uid="{6391D789-272B-4DD2-9BF3-2CDCF610FA41}"/>
    <cellStyle name="Texto de advertencia" xfId="26" builtinId="11" customBuiltin="1"/>
    <cellStyle name="Texto explicativo" xfId="28" builtinId="53" customBuiltin="1"/>
    <cellStyle name="Título" xfId="5" builtinId="15" customBuiltin="1"/>
    <cellStyle name="Título 2" xfId="7" builtinId="17" customBuiltin="1"/>
    <cellStyle name="Título 3" xfId="8" builtinId="18" customBuiltin="1"/>
    <cellStyle name="Total" xfId="29" builtinId="25" customBuiltin="1"/>
    <cellStyle name="zTextoOculto" xfId="3" xr:uid="{26E66EE6-E33F-4D77-BAE4-0FB4F5BBF673}"/>
  </cellStyles>
  <dxfs count="18">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ListaTareasPendientes" pivot="0" count="9" xr9:uid="{00000000-0011-0000-FFFF-FFFF00000000}">
      <tableStyleElement type="wholeTable" dxfId="17"/>
      <tableStyleElement type="headerRow" dxfId="16"/>
      <tableStyleElement type="totalRow" dxfId="15"/>
      <tableStyleElement type="firstColumn" dxfId="14"/>
      <tableStyleElement type="lastColumn" dxfId="13"/>
      <tableStyleElement type="firstRowStripe" dxfId="12"/>
      <tableStyleElement type="secondRowStripe" dxfId="11"/>
      <tableStyleElement type="firstColumnStripe" dxfId="10"/>
      <tableStyleElement type="secondColumnStripe"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000000"/>
      <color rgb="FF215881"/>
      <color rgb="FF42648A"/>
      <color rgb="FF969696"/>
      <color rgb="FFC0C0C0"/>
      <color rgb="FF427FC2"/>
      <color rgb="FF44678E"/>
      <color rgb="FF4A6F9C"/>
      <color rgb="FF3969A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CV56"/>
  <sheetViews>
    <sheetView showGridLines="0" showRuler="0" zoomScale="70" zoomScaleNormal="70" zoomScalePageLayoutView="70" workbookViewId="0">
      <pane ySplit="6" topLeftCell="A41" activePane="bottomLeft" state="frozen"/>
      <selection pane="bottomLeft" activeCell="E53" sqref="E53"/>
    </sheetView>
  </sheetViews>
  <sheetFormatPr baseColWidth="10" defaultColWidth="9.140625" defaultRowHeight="30" customHeight="1" x14ac:dyDescent="0.25"/>
  <cols>
    <col min="1" max="1" width="6.5703125" style="28" customWidth="1"/>
    <col min="2" max="2" width="36.5703125" customWidth="1"/>
    <col min="3" max="3" width="10.28515625" customWidth="1"/>
    <col min="4" max="4" width="30.7109375" customWidth="1"/>
    <col min="5" max="5" width="10.7109375" customWidth="1"/>
    <col min="6" max="6" width="10.42578125" style="5" customWidth="1"/>
    <col min="7" max="7" width="10.42578125" customWidth="1"/>
    <col min="8" max="8" width="2.7109375" customWidth="1"/>
    <col min="9" max="9" width="9.42578125" hidden="1" customWidth="1"/>
    <col min="10" max="15" width="3.28515625" customWidth="1"/>
    <col min="16" max="16" width="8" customWidth="1"/>
    <col min="17" max="22" width="3.28515625" customWidth="1"/>
    <col min="23" max="23" width="8.28515625" customWidth="1"/>
    <col min="24" max="29" width="3.28515625" customWidth="1"/>
    <col min="30" max="30" width="8.140625" customWidth="1"/>
    <col min="31" max="36" width="3.28515625" customWidth="1"/>
    <col min="37" max="37" width="7.5703125" customWidth="1"/>
    <col min="38" max="43" width="3.28515625" customWidth="1"/>
    <col min="44" max="44" width="7" customWidth="1"/>
    <col min="45" max="50" width="3.28515625" customWidth="1"/>
    <col min="51" max="51" width="4.140625" customWidth="1"/>
    <col min="52" max="57" width="3.28515625" customWidth="1"/>
    <col min="58" max="58" width="5.5703125" customWidth="1"/>
    <col min="59" max="64" width="3.28515625" customWidth="1"/>
    <col min="65" max="65" width="7.140625" customWidth="1"/>
    <col min="70" max="71" width="10.28515625"/>
  </cols>
  <sheetData>
    <row r="1" spans="1:100" ht="30" customHeight="1" x14ac:dyDescent="0.45">
      <c r="A1" s="29" t="s">
        <v>0</v>
      </c>
      <c r="B1" s="31" t="s">
        <v>18</v>
      </c>
      <c r="C1" s="31"/>
      <c r="D1" s="1"/>
      <c r="E1" s="2"/>
      <c r="F1" s="4"/>
      <c r="G1" s="27"/>
      <c r="I1" s="2"/>
      <c r="J1" s="47"/>
    </row>
    <row r="2" spans="1:100" ht="30" customHeight="1" x14ac:dyDescent="0.3">
      <c r="A2" s="28" t="s">
        <v>1</v>
      </c>
      <c r="B2" s="32" t="s">
        <v>19</v>
      </c>
      <c r="C2" s="32"/>
      <c r="J2" s="48"/>
    </row>
    <row r="3" spans="1:100" ht="30" customHeight="1" x14ac:dyDescent="0.25">
      <c r="A3" s="28" t="s">
        <v>2</v>
      </c>
      <c r="B3" s="33"/>
      <c r="C3" s="33"/>
      <c r="D3" s="82" t="s">
        <v>7</v>
      </c>
      <c r="E3" s="83"/>
      <c r="F3" s="81">
        <v>45902</v>
      </c>
      <c r="G3" s="81"/>
    </row>
    <row r="4" spans="1:100" ht="30" customHeight="1" x14ac:dyDescent="0.25">
      <c r="A4" s="29" t="s">
        <v>3</v>
      </c>
      <c r="D4" s="82" t="s">
        <v>8</v>
      </c>
      <c r="E4" s="83"/>
      <c r="F4" s="6">
        <v>1</v>
      </c>
      <c r="J4" s="78">
        <f>J5</f>
        <v>45901</v>
      </c>
      <c r="K4" s="79"/>
      <c r="L4" s="79"/>
      <c r="M4" s="79"/>
      <c r="N4" s="79"/>
      <c r="O4" s="79"/>
      <c r="P4" s="80"/>
      <c r="Q4" s="78">
        <f>Q5</f>
        <v>45908</v>
      </c>
      <c r="R4" s="79"/>
      <c r="S4" s="79"/>
      <c r="T4" s="79"/>
      <c r="U4" s="79"/>
      <c r="V4" s="79"/>
      <c r="W4" s="80"/>
      <c r="X4" s="78">
        <f>X5</f>
        <v>45915</v>
      </c>
      <c r="Y4" s="79"/>
      <c r="Z4" s="79"/>
      <c r="AA4" s="79"/>
      <c r="AB4" s="79"/>
      <c r="AC4" s="79"/>
      <c r="AD4" s="80"/>
      <c r="AE4" s="78">
        <f>AE5</f>
        <v>45922</v>
      </c>
      <c r="AF4" s="79"/>
      <c r="AG4" s="79"/>
      <c r="AH4" s="79"/>
      <c r="AI4" s="79"/>
      <c r="AJ4" s="79"/>
      <c r="AK4" s="80"/>
      <c r="AL4" s="78">
        <f>AL5</f>
        <v>45929</v>
      </c>
      <c r="AM4" s="79"/>
      <c r="AN4" s="79"/>
      <c r="AO4" s="79"/>
      <c r="AP4" s="79"/>
      <c r="AQ4" s="79"/>
      <c r="AR4" s="80"/>
      <c r="AS4" s="78">
        <f>AS5</f>
        <v>45936</v>
      </c>
      <c r="AT4" s="79"/>
      <c r="AU4" s="79"/>
      <c r="AV4" s="79"/>
      <c r="AW4" s="79"/>
      <c r="AX4" s="79"/>
      <c r="AY4" s="80"/>
      <c r="AZ4" s="78">
        <f>AZ5</f>
        <v>45943</v>
      </c>
      <c r="BA4" s="79"/>
      <c r="BB4" s="79"/>
      <c r="BC4" s="79"/>
      <c r="BD4" s="79"/>
      <c r="BE4" s="79"/>
      <c r="BF4" s="80"/>
      <c r="BG4" s="78">
        <f>BG5</f>
        <v>45950</v>
      </c>
      <c r="BH4" s="79"/>
      <c r="BI4" s="79"/>
      <c r="BJ4" s="79"/>
      <c r="BK4" s="79"/>
      <c r="BL4" s="79"/>
      <c r="BM4" s="80"/>
      <c r="BN4" s="78">
        <f t="shared" ref="BN4" si="0">BN5</f>
        <v>45957</v>
      </c>
      <c r="BO4" s="79"/>
      <c r="BP4" s="79"/>
      <c r="BQ4" s="79"/>
      <c r="BR4" s="79"/>
      <c r="BS4" s="79"/>
      <c r="BT4" s="80"/>
      <c r="BU4" s="78">
        <f t="shared" ref="BU4" si="1">BU5</f>
        <v>45964</v>
      </c>
      <c r="BV4" s="79"/>
      <c r="BW4" s="79"/>
      <c r="BX4" s="79"/>
      <c r="BY4" s="79"/>
      <c r="BZ4" s="79"/>
      <c r="CA4" s="80"/>
      <c r="CB4" s="78">
        <f t="shared" ref="CB4" si="2">CB5</f>
        <v>45971</v>
      </c>
      <c r="CC4" s="79"/>
      <c r="CD4" s="79"/>
      <c r="CE4" s="79"/>
      <c r="CF4" s="79"/>
      <c r="CG4" s="79"/>
      <c r="CH4" s="80"/>
      <c r="CI4" s="78">
        <f t="shared" ref="CI4" si="3">CI5</f>
        <v>45978</v>
      </c>
      <c r="CJ4" s="79"/>
      <c r="CK4" s="79"/>
      <c r="CL4" s="79"/>
      <c r="CM4" s="79"/>
      <c r="CN4" s="79"/>
      <c r="CO4" s="80"/>
      <c r="CP4" s="78">
        <f t="shared" ref="CP4" si="4">CP5</f>
        <v>45985</v>
      </c>
      <c r="CQ4" s="79"/>
      <c r="CR4" s="79"/>
      <c r="CS4" s="79"/>
      <c r="CT4" s="79"/>
      <c r="CU4" s="79"/>
      <c r="CV4" s="80"/>
    </row>
    <row r="5" spans="1:100" ht="15" customHeight="1" x14ac:dyDescent="0.25">
      <c r="A5" s="29" t="s">
        <v>4</v>
      </c>
      <c r="B5" s="46"/>
      <c r="C5" s="46"/>
      <c r="D5" s="46"/>
      <c r="E5" s="46"/>
      <c r="F5" s="46"/>
      <c r="G5" s="46"/>
      <c r="H5" s="46"/>
      <c r="J5" s="58">
        <f>Inicio_del_proyecto-WEEKDAY(Inicio_del_proyecto,1)+2+7*(Semana_para_mostrar-1)</f>
        <v>45901</v>
      </c>
      <c r="K5" s="59">
        <f>J5+1</f>
        <v>45902</v>
      </c>
      <c r="L5" s="59">
        <f t="shared" ref="L5:AY5" si="5">K5+1</f>
        <v>45903</v>
      </c>
      <c r="M5" s="59">
        <f t="shared" si="5"/>
        <v>45904</v>
      </c>
      <c r="N5" s="59">
        <f t="shared" si="5"/>
        <v>45905</v>
      </c>
      <c r="O5" s="59">
        <f t="shared" si="5"/>
        <v>45906</v>
      </c>
      <c r="P5" s="60">
        <f t="shared" si="5"/>
        <v>45907</v>
      </c>
      <c r="Q5" s="58">
        <f>P5+1</f>
        <v>45908</v>
      </c>
      <c r="R5" s="59">
        <f>Q5+1</f>
        <v>45909</v>
      </c>
      <c r="S5" s="59">
        <f t="shared" si="5"/>
        <v>45910</v>
      </c>
      <c r="T5" s="59">
        <f t="shared" si="5"/>
        <v>45911</v>
      </c>
      <c r="U5" s="59">
        <f t="shared" si="5"/>
        <v>45912</v>
      </c>
      <c r="V5" s="59">
        <f t="shared" si="5"/>
        <v>45913</v>
      </c>
      <c r="W5" s="60">
        <f t="shared" si="5"/>
        <v>45914</v>
      </c>
      <c r="X5" s="58">
        <f>W5+1</f>
        <v>45915</v>
      </c>
      <c r="Y5" s="59">
        <f>X5+1</f>
        <v>45916</v>
      </c>
      <c r="Z5" s="59">
        <f t="shared" si="5"/>
        <v>45917</v>
      </c>
      <c r="AA5" s="59">
        <f t="shared" si="5"/>
        <v>45918</v>
      </c>
      <c r="AB5" s="59">
        <f t="shared" si="5"/>
        <v>45919</v>
      </c>
      <c r="AC5" s="59">
        <f t="shared" si="5"/>
        <v>45920</v>
      </c>
      <c r="AD5" s="60">
        <f t="shared" si="5"/>
        <v>45921</v>
      </c>
      <c r="AE5" s="58">
        <f>AD5+1</f>
        <v>45922</v>
      </c>
      <c r="AF5" s="59">
        <f>AE5+1</f>
        <v>45923</v>
      </c>
      <c r="AG5" s="59">
        <f t="shared" si="5"/>
        <v>45924</v>
      </c>
      <c r="AH5" s="59">
        <f t="shared" si="5"/>
        <v>45925</v>
      </c>
      <c r="AI5" s="59">
        <f t="shared" si="5"/>
        <v>45926</v>
      </c>
      <c r="AJ5" s="59">
        <f t="shared" si="5"/>
        <v>45927</v>
      </c>
      <c r="AK5" s="60">
        <f t="shared" si="5"/>
        <v>45928</v>
      </c>
      <c r="AL5" s="58">
        <f>AK5+1</f>
        <v>45929</v>
      </c>
      <c r="AM5" s="59">
        <f>AL5+1</f>
        <v>45930</v>
      </c>
      <c r="AN5" s="59">
        <f t="shared" si="5"/>
        <v>45931</v>
      </c>
      <c r="AO5" s="59">
        <f t="shared" si="5"/>
        <v>45932</v>
      </c>
      <c r="AP5" s="59">
        <f t="shared" si="5"/>
        <v>45933</v>
      </c>
      <c r="AQ5" s="59">
        <f t="shared" si="5"/>
        <v>45934</v>
      </c>
      <c r="AR5" s="60">
        <f t="shared" si="5"/>
        <v>45935</v>
      </c>
      <c r="AS5" s="58">
        <f>AR5+1</f>
        <v>45936</v>
      </c>
      <c r="AT5" s="59">
        <f>AS5+1</f>
        <v>45937</v>
      </c>
      <c r="AU5" s="59">
        <f t="shared" si="5"/>
        <v>45938</v>
      </c>
      <c r="AV5" s="59">
        <f t="shared" si="5"/>
        <v>45939</v>
      </c>
      <c r="AW5" s="59">
        <f t="shared" si="5"/>
        <v>45940</v>
      </c>
      <c r="AX5" s="59">
        <f t="shared" si="5"/>
        <v>45941</v>
      </c>
      <c r="AY5" s="60">
        <f t="shared" si="5"/>
        <v>45942</v>
      </c>
      <c r="AZ5" s="58">
        <f>AY5+1</f>
        <v>45943</v>
      </c>
      <c r="BA5" s="59">
        <f>AZ5+1</f>
        <v>45944</v>
      </c>
      <c r="BB5" s="59">
        <f t="shared" ref="BB5:BF5" si="6">BA5+1</f>
        <v>45945</v>
      </c>
      <c r="BC5" s="59">
        <f t="shared" si="6"/>
        <v>45946</v>
      </c>
      <c r="BD5" s="59">
        <f t="shared" si="6"/>
        <v>45947</v>
      </c>
      <c r="BE5" s="59">
        <f t="shared" si="6"/>
        <v>45948</v>
      </c>
      <c r="BF5" s="60">
        <f t="shared" si="6"/>
        <v>45949</v>
      </c>
      <c r="BG5" s="58">
        <f>BF5+1</f>
        <v>45950</v>
      </c>
      <c r="BH5" s="59">
        <f>BG5+1</f>
        <v>45951</v>
      </c>
      <c r="BI5" s="59">
        <f t="shared" ref="BI5:BM5" si="7">BH5+1</f>
        <v>45952</v>
      </c>
      <c r="BJ5" s="59">
        <f t="shared" si="7"/>
        <v>45953</v>
      </c>
      <c r="BK5" s="59">
        <f t="shared" si="7"/>
        <v>45954</v>
      </c>
      <c r="BL5" s="59">
        <f t="shared" si="7"/>
        <v>45955</v>
      </c>
      <c r="BM5" s="60">
        <f t="shared" si="7"/>
        <v>45956</v>
      </c>
      <c r="BN5" s="60">
        <f t="shared" ref="BN5" si="8">BM5+1</f>
        <v>45957</v>
      </c>
      <c r="BO5" s="60">
        <f t="shared" ref="BO5" si="9">BN5+1</f>
        <v>45958</v>
      </c>
      <c r="BP5" s="60">
        <f t="shared" ref="BP5" si="10">BO5+1</f>
        <v>45959</v>
      </c>
      <c r="BQ5" s="60">
        <f t="shared" ref="BQ5" si="11">BP5+1</f>
        <v>45960</v>
      </c>
      <c r="BR5" s="60">
        <f t="shared" ref="BR5" si="12">BQ5+1</f>
        <v>45961</v>
      </c>
      <c r="BS5" s="60">
        <f t="shared" ref="BS5" si="13">BR5+1</f>
        <v>45962</v>
      </c>
      <c r="BT5" s="60">
        <f t="shared" ref="BT5" si="14">BS5+1</f>
        <v>45963</v>
      </c>
      <c r="BU5" s="60">
        <f t="shared" ref="BU5" si="15">BT5+1</f>
        <v>45964</v>
      </c>
      <c r="BV5" s="60">
        <f t="shared" ref="BV5" si="16">BU5+1</f>
        <v>45965</v>
      </c>
      <c r="BW5" s="60">
        <f t="shared" ref="BW5" si="17">BV5+1</f>
        <v>45966</v>
      </c>
      <c r="BX5" s="60">
        <f t="shared" ref="BX5" si="18">BW5+1</f>
        <v>45967</v>
      </c>
      <c r="BY5" s="60">
        <f t="shared" ref="BY5" si="19">BX5+1</f>
        <v>45968</v>
      </c>
      <c r="BZ5" s="60">
        <f t="shared" ref="BZ5" si="20">BY5+1</f>
        <v>45969</v>
      </c>
      <c r="CA5" s="60">
        <f t="shared" ref="CA5" si="21">BZ5+1</f>
        <v>45970</v>
      </c>
      <c r="CB5" s="60">
        <f t="shared" ref="CB5" si="22">CA5+1</f>
        <v>45971</v>
      </c>
      <c r="CC5" s="60">
        <f t="shared" ref="CC5" si="23">CB5+1</f>
        <v>45972</v>
      </c>
      <c r="CD5" s="60">
        <f t="shared" ref="CD5" si="24">CC5+1</f>
        <v>45973</v>
      </c>
      <c r="CE5" s="60">
        <f t="shared" ref="CE5" si="25">CD5+1</f>
        <v>45974</v>
      </c>
      <c r="CF5" s="60">
        <f t="shared" ref="CF5" si="26">CE5+1</f>
        <v>45975</v>
      </c>
      <c r="CG5" s="60">
        <f t="shared" ref="CG5" si="27">CF5+1</f>
        <v>45976</v>
      </c>
      <c r="CH5" s="60">
        <f t="shared" ref="CH5" si="28">CG5+1</f>
        <v>45977</v>
      </c>
      <c r="CI5" s="60">
        <f t="shared" ref="CI5" si="29">CH5+1</f>
        <v>45978</v>
      </c>
      <c r="CJ5" s="60">
        <f t="shared" ref="CJ5" si="30">CI5+1</f>
        <v>45979</v>
      </c>
      <c r="CK5" s="60">
        <f t="shared" ref="CK5" si="31">CJ5+1</f>
        <v>45980</v>
      </c>
      <c r="CL5" s="60">
        <f t="shared" ref="CL5" si="32">CK5+1</f>
        <v>45981</v>
      </c>
      <c r="CM5" s="60">
        <f t="shared" ref="CM5" si="33">CL5+1</f>
        <v>45982</v>
      </c>
      <c r="CN5" s="60">
        <f t="shared" ref="CN5" si="34">CM5+1</f>
        <v>45983</v>
      </c>
      <c r="CO5" s="60">
        <f t="shared" ref="CO5" si="35">CN5+1</f>
        <v>45984</v>
      </c>
      <c r="CP5" s="60">
        <f t="shared" ref="CP5" si="36">CO5+1</f>
        <v>45985</v>
      </c>
      <c r="CQ5" s="60">
        <f t="shared" ref="CQ5" si="37">CP5+1</f>
        <v>45986</v>
      </c>
      <c r="CR5" s="60">
        <f t="shared" ref="CR5" si="38">CQ5+1</f>
        <v>45987</v>
      </c>
      <c r="CS5" s="60">
        <f t="shared" ref="CS5" si="39">CR5+1</f>
        <v>45988</v>
      </c>
      <c r="CT5" s="60">
        <f t="shared" ref="CT5" si="40">CS5+1</f>
        <v>45989</v>
      </c>
      <c r="CU5" s="60">
        <f t="shared" ref="CU5" si="41">CT5+1</f>
        <v>45990</v>
      </c>
      <c r="CV5" s="60">
        <f t="shared" ref="CV5" si="42">CU5+1</f>
        <v>45991</v>
      </c>
    </row>
    <row r="6" spans="1:100" ht="30" customHeight="1" thickBot="1" x14ac:dyDescent="0.3">
      <c r="A6" s="7" t="s">
        <v>42</v>
      </c>
      <c r="B6" s="7" t="s">
        <v>6</v>
      </c>
      <c r="C6" s="7" t="s">
        <v>73</v>
      </c>
      <c r="D6" s="8" t="s">
        <v>9</v>
      </c>
      <c r="E6" s="8" t="s">
        <v>10</v>
      </c>
      <c r="F6" s="8" t="s">
        <v>11</v>
      </c>
      <c r="G6" s="8" t="s">
        <v>12</v>
      </c>
      <c r="H6" s="8"/>
      <c r="I6" s="8" t="s">
        <v>13</v>
      </c>
      <c r="J6" s="9" t="str">
        <f t="shared" ref="J6" si="43">LEFT(TEXT(J5,"ddd"),1)</f>
        <v>l</v>
      </c>
      <c r="K6" s="9" t="str">
        <f t="shared" ref="K6:AS6" si="44">LEFT(TEXT(K5,"ddd"),1)</f>
        <v>m</v>
      </c>
      <c r="L6" s="9" t="str">
        <f t="shared" si="44"/>
        <v>m</v>
      </c>
      <c r="M6" s="9" t="str">
        <f t="shared" si="44"/>
        <v>j</v>
      </c>
      <c r="N6" s="9" t="str">
        <f t="shared" si="44"/>
        <v>v</v>
      </c>
      <c r="O6" s="9" t="str">
        <f t="shared" si="44"/>
        <v>s</v>
      </c>
      <c r="P6" s="9" t="str">
        <f t="shared" si="44"/>
        <v>d</v>
      </c>
      <c r="Q6" s="9" t="str">
        <f t="shared" si="44"/>
        <v>l</v>
      </c>
      <c r="R6" s="9" t="str">
        <f t="shared" si="44"/>
        <v>m</v>
      </c>
      <c r="S6" s="9" t="str">
        <f t="shared" si="44"/>
        <v>m</v>
      </c>
      <c r="T6" s="9" t="str">
        <f t="shared" si="44"/>
        <v>j</v>
      </c>
      <c r="U6" s="9" t="str">
        <f t="shared" si="44"/>
        <v>v</v>
      </c>
      <c r="V6" s="9" t="str">
        <f t="shared" si="44"/>
        <v>s</v>
      </c>
      <c r="W6" s="9" t="str">
        <f t="shared" si="44"/>
        <v>d</v>
      </c>
      <c r="X6" s="9" t="str">
        <f t="shared" si="44"/>
        <v>l</v>
      </c>
      <c r="Y6" s="9" t="str">
        <f t="shared" si="44"/>
        <v>m</v>
      </c>
      <c r="Z6" s="9" t="str">
        <f t="shared" si="44"/>
        <v>m</v>
      </c>
      <c r="AA6" s="9" t="str">
        <f t="shared" si="44"/>
        <v>j</v>
      </c>
      <c r="AB6" s="9" t="str">
        <f t="shared" si="44"/>
        <v>v</v>
      </c>
      <c r="AC6" s="9" t="str">
        <f t="shared" si="44"/>
        <v>s</v>
      </c>
      <c r="AD6" s="9" t="str">
        <f t="shared" si="44"/>
        <v>d</v>
      </c>
      <c r="AE6" s="9" t="str">
        <f t="shared" si="44"/>
        <v>l</v>
      </c>
      <c r="AF6" s="9" t="str">
        <f t="shared" si="44"/>
        <v>m</v>
      </c>
      <c r="AG6" s="9" t="str">
        <f t="shared" si="44"/>
        <v>m</v>
      </c>
      <c r="AH6" s="9" t="str">
        <f t="shared" si="44"/>
        <v>j</v>
      </c>
      <c r="AI6" s="9" t="str">
        <f t="shared" si="44"/>
        <v>v</v>
      </c>
      <c r="AJ6" s="9" t="str">
        <f t="shared" si="44"/>
        <v>s</v>
      </c>
      <c r="AK6" s="9" t="str">
        <f t="shared" si="44"/>
        <v>d</v>
      </c>
      <c r="AL6" s="9" t="str">
        <f t="shared" si="44"/>
        <v>l</v>
      </c>
      <c r="AM6" s="9" t="str">
        <f t="shared" si="44"/>
        <v>m</v>
      </c>
      <c r="AN6" s="9" t="str">
        <f t="shared" si="44"/>
        <v>m</v>
      </c>
      <c r="AO6" s="9" t="str">
        <f t="shared" si="44"/>
        <v>j</v>
      </c>
      <c r="AP6" s="9" t="str">
        <f t="shared" si="44"/>
        <v>v</v>
      </c>
      <c r="AQ6" s="9" t="str">
        <f t="shared" si="44"/>
        <v>s</v>
      </c>
      <c r="AR6" s="9" t="str">
        <f t="shared" si="44"/>
        <v>d</v>
      </c>
      <c r="AS6" s="9" t="str">
        <f t="shared" si="44"/>
        <v>l</v>
      </c>
      <c r="AT6" s="9" t="str">
        <f t="shared" ref="AT6:CV6" si="45">LEFT(TEXT(AT5,"ddd"),1)</f>
        <v>m</v>
      </c>
      <c r="AU6" s="9" t="str">
        <f t="shared" si="45"/>
        <v>m</v>
      </c>
      <c r="AV6" s="9" t="str">
        <f t="shared" si="45"/>
        <v>j</v>
      </c>
      <c r="AW6" s="9" t="str">
        <f t="shared" si="45"/>
        <v>v</v>
      </c>
      <c r="AX6" s="9" t="str">
        <f t="shared" si="45"/>
        <v>s</v>
      </c>
      <c r="AY6" s="9" t="str">
        <f t="shared" si="45"/>
        <v>d</v>
      </c>
      <c r="AZ6" s="9" t="str">
        <f t="shared" si="45"/>
        <v>l</v>
      </c>
      <c r="BA6" s="9" t="str">
        <f t="shared" si="45"/>
        <v>m</v>
      </c>
      <c r="BB6" s="9" t="str">
        <f t="shared" si="45"/>
        <v>m</v>
      </c>
      <c r="BC6" s="9" t="str">
        <f t="shared" si="45"/>
        <v>j</v>
      </c>
      <c r="BD6" s="9" t="str">
        <f t="shared" si="45"/>
        <v>v</v>
      </c>
      <c r="BE6" s="9" t="str">
        <f t="shared" si="45"/>
        <v>s</v>
      </c>
      <c r="BF6" s="9" t="str">
        <f t="shared" si="45"/>
        <v>d</v>
      </c>
      <c r="BG6" s="9" t="str">
        <f t="shared" si="45"/>
        <v>l</v>
      </c>
      <c r="BH6" s="9" t="str">
        <f t="shared" si="45"/>
        <v>m</v>
      </c>
      <c r="BI6" s="9" t="str">
        <f t="shared" si="45"/>
        <v>m</v>
      </c>
      <c r="BJ6" s="9" t="str">
        <f t="shared" si="45"/>
        <v>j</v>
      </c>
      <c r="BK6" s="9" t="str">
        <f t="shared" si="45"/>
        <v>v</v>
      </c>
      <c r="BL6" s="9" t="str">
        <f t="shared" si="45"/>
        <v>s</v>
      </c>
      <c r="BM6" s="9" t="str">
        <f t="shared" si="45"/>
        <v>d</v>
      </c>
      <c r="BN6" s="9" t="str">
        <f t="shared" si="45"/>
        <v>l</v>
      </c>
      <c r="BO6" s="9" t="str">
        <f t="shared" si="45"/>
        <v>m</v>
      </c>
      <c r="BP6" s="9" t="str">
        <f t="shared" si="45"/>
        <v>m</v>
      </c>
      <c r="BQ6" s="9" t="str">
        <f t="shared" si="45"/>
        <v>j</v>
      </c>
      <c r="BR6" s="9" t="str">
        <f t="shared" si="45"/>
        <v>v</v>
      </c>
      <c r="BS6" s="9" t="str">
        <f t="shared" si="45"/>
        <v>s</v>
      </c>
      <c r="BT6" s="9" t="str">
        <f t="shared" si="45"/>
        <v>d</v>
      </c>
      <c r="BU6" s="9" t="str">
        <f t="shared" si="45"/>
        <v>l</v>
      </c>
      <c r="BV6" s="9" t="str">
        <f t="shared" si="45"/>
        <v>m</v>
      </c>
      <c r="BW6" s="9" t="str">
        <f t="shared" si="45"/>
        <v>m</v>
      </c>
      <c r="BX6" s="9" t="str">
        <f t="shared" si="45"/>
        <v>j</v>
      </c>
      <c r="BY6" s="9" t="str">
        <f t="shared" si="45"/>
        <v>v</v>
      </c>
      <c r="BZ6" s="9" t="str">
        <f t="shared" si="45"/>
        <v>s</v>
      </c>
      <c r="CA6" s="9" t="str">
        <f t="shared" si="45"/>
        <v>d</v>
      </c>
      <c r="CB6" s="9" t="str">
        <f t="shared" si="45"/>
        <v>l</v>
      </c>
      <c r="CC6" s="9" t="str">
        <f t="shared" si="45"/>
        <v>m</v>
      </c>
      <c r="CD6" s="9" t="str">
        <f t="shared" si="45"/>
        <v>m</v>
      </c>
      <c r="CE6" s="9" t="str">
        <f t="shared" si="45"/>
        <v>j</v>
      </c>
      <c r="CF6" s="9" t="str">
        <f t="shared" si="45"/>
        <v>v</v>
      </c>
      <c r="CG6" s="9" t="str">
        <f t="shared" si="45"/>
        <v>s</v>
      </c>
      <c r="CH6" s="9" t="str">
        <f t="shared" si="45"/>
        <v>d</v>
      </c>
      <c r="CI6" s="9" t="str">
        <f t="shared" si="45"/>
        <v>l</v>
      </c>
      <c r="CJ6" s="9" t="str">
        <f t="shared" si="45"/>
        <v>m</v>
      </c>
      <c r="CK6" s="9" t="str">
        <f t="shared" si="45"/>
        <v>m</v>
      </c>
      <c r="CL6" s="9" t="str">
        <f t="shared" si="45"/>
        <v>j</v>
      </c>
      <c r="CM6" s="9" t="str">
        <f t="shared" si="45"/>
        <v>v</v>
      </c>
      <c r="CN6" s="9" t="str">
        <f t="shared" si="45"/>
        <v>s</v>
      </c>
      <c r="CO6" s="9" t="str">
        <f t="shared" si="45"/>
        <v>d</v>
      </c>
      <c r="CP6" s="9" t="str">
        <f t="shared" si="45"/>
        <v>l</v>
      </c>
      <c r="CQ6" s="9" t="str">
        <f t="shared" si="45"/>
        <v>m</v>
      </c>
      <c r="CR6" s="9" t="str">
        <f t="shared" si="45"/>
        <v>m</v>
      </c>
      <c r="CS6" s="9" t="str">
        <f t="shared" si="45"/>
        <v>j</v>
      </c>
      <c r="CT6" s="9" t="str">
        <f t="shared" si="45"/>
        <v>v</v>
      </c>
      <c r="CU6" s="9" t="str">
        <f t="shared" si="45"/>
        <v>s</v>
      </c>
      <c r="CV6" s="9" t="str">
        <f t="shared" si="45"/>
        <v>d</v>
      </c>
    </row>
    <row r="7" spans="1:100" ht="30" hidden="1" customHeight="1" thickBot="1" x14ac:dyDescent="0.3">
      <c r="A7" s="28" t="s">
        <v>5</v>
      </c>
      <c r="D7" s="30"/>
      <c r="F7"/>
      <c r="I7" t="str">
        <f>IF(OR(ISBLANK(task_start),ISBLANK(task_end)),"",task_end-task_start+1)</f>
        <v/>
      </c>
      <c r="J7" s="24"/>
      <c r="K7" s="24"/>
      <c r="L7" s="24"/>
      <c r="M7" s="24"/>
      <c r="N7" s="24"/>
      <c r="O7" s="24"/>
      <c r="P7" s="24"/>
      <c r="Q7" s="24"/>
      <c r="R7" s="24"/>
      <c r="S7" s="24"/>
      <c r="T7" s="24"/>
      <c r="U7" s="24"/>
      <c r="V7" s="24"/>
      <c r="W7" s="24"/>
      <c r="X7" s="24"/>
      <c r="Y7" s="24"/>
      <c r="Z7" s="24"/>
      <c r="AA7" s="24"/>
      <c r="AB7" s="24"/>
      <c r="AC7" s="24"/>
      <c r="AD7" s="24"/>
      <c r="AE7" s="24"/>
      <c r="AF7" s="24"/>
      <c r="AG7" s="24"/>
      <c r="AH7" s="24"/>
      <c r="AI7" s="24"/>
      <c r="AJ7" s="24"/>
      <c r="AK7" s="24"/>
      <c r="AL7" s="24"/>
      <c r="AM7" s="24"/>
      <c r="AN7" s="24"/>
      <c r="AO7" s="24"/>
      <c r="AP7" s="24"/>
      <c r="AQ7" s="24"/>
      <c r="AR7" s="24"/>
      <c r="AS7" s="24"/>
      <c r="AT7" s="24"/>
      <c r="AU7" s="24"/>
      <c r="AV7" s="24"/>
      <c r="AW7" s="24"/>
      <c r="AX7" s="24"/>
      <c r="AY7" s="24"/>
      <c r="AZ7" s="24"/>
      <c r="BA7" s="24"/>
      <c r="BB7" s="24"/>
      <c r="BC7" s="24"/>
      <c r="BD7" s="24"/>
      <c r="BE7" s="24"/>
      <c r="BF7" s="24"/>
      <c r="BG7" s="24"/>
      <c r="BH7" s="24"/>
      <c r="BI7" s="24"/>
      <c r="BJ7" s="24"/>
      <c r="BK7" s="24"/>
      <c r="BL7" s="24"/>
      <c r="BM7" s="24"/>
    </row>
    <row r="8" spans="1:100" s="3" customFormat="1" ht="30" customHeight="1" thickBot="1" x14ac:dyDescent="0.3">
      <c r="A8" s="65"/>
      <c r="B8" s="11" t="s">
        <v>17</v>
      </c>
      <c r="C8" s="11"/>
      <c r="D8" s="34"/>
      <c r="E8" s="12"/>
      <c r="F8" s="49"/>
      <c r="G8" s="50"/>
      <c r="H8" s="10"/>
      <c r="I8" s="10" t="str">
        <f t="shared" ref="I8:I46" si="46">IF(OR(ISBLANK(task_start),ISBLANK(task_end)),"",task_end-task_start+1)</f>
        <v/>
      </c>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c r="BM8" s="24"/>
      <c r="BN8" s="24"/>
      <c r="BO8" s="24"/>
      <c r="BP8" s="24"/>
      <c r="BQ8" s="24"/>
      <c r="BR8" s="24"/>
      <c r="BS8" s="24"/>
      <c r="BT8" s="24"/>
      <c r="BU8" s="24"/>
      <c r="BV8" s="24"/>
      <c r="BW8" s="24"/>
      <c r="BX8" s="24"/>
      <c r="BY8" s="24"/>
      <c r="BZ8" s="24"/>
      <c r="CA8" s="24"/>
      <c r="CB8" s="24"/>
      <c r="CC8" s="24"/>
      <c r="CD8" s="24"/>
      <c r="CE8" s="24"/>
      <c r="CF8" s="24"/>
      <c r="CG8" s="24"/>
      <c r="CH8" s="24"/>
      <c r="CI8" s="24"/>
      <c r="CJ8" s="24"/>
      <c r="CK8" s="24"/>
      <c r="CL8" s="24"/>
      <c r="CM8" s="24"/>
      <c r="CN8" s="24"/>
      <c r="CO8" s="24"/>
      <c r="CP8" s="24"/>
      <c r="CQ8" s="24"/>
      <c r="CR8" s="24"/>
      <c r="CS8" s="24"/>
      <c r="CT8" s="24"/>
      <c r="CU8" s="24"/>
      <c r="CV8" s="24"/>
    </row>
    <row r="9" spans="1:100" s="3" customFormat="1" ht="28.5" customHeight="1" thickBot="1" x14ac:dyDescent="0.3">
      <c r="A9" s="66" t="s">
        <v>43</v>
      </c>
      <c r="B9" s="64" t="s">
        <v>113</v>
      </c>
      <c r="C9" s="64" t="s">
        <v>75</v>
      </c>
      <c r="D9" s="35" t="s">
        <v>14</v>
      </c>
      <c r="E9" s="13">
        <v>1</v>
      </c>
      <c r="F9" s="61">
        <v>45904</v>
      </c>
      <c r="G9" s="61">
        <v>45904</v>
      </c>
      <c r="H9" s="10"/>
      <c r="I9" s="10">
        <f t="shared" si="46"/>
        <v>1</v>
      </c>
      <c r="J9" s="24"/>
      <c r="K9" s="24"/>
      <c r="L9" s="24"/>
      <c r="M9" s="24"/>
      <c r="N9" s="24"/>
      <c r="O9" s="24"/>
      <c r="P9" s="24"/>
      <c r="Q9" s="24"/>
      <c r="R9" s="24"/>
      <c r="S9" s="24"/>
      <c r="T9" s="24"/>
      <c r="U9" s="24"/>
      <c r="V9" s="24"/>
      <c r="W9" s="24"/>
      <c r="X9" s="24"/>
      <c r="Y9" s="24"/>
      <c r="Z9" s="24"/>
      <c r="AA9" s="24"/>
      <c r="AB9" s="24"/>
      <c r="AC9" s="24"/>
      <c r="AD9" s="24"/>
      <c r="AE9" s="24"/>
      <c r="AF9" s="24"/>
      <c r="AG9" s="24"/>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c r="BL9" s="24"/>
      <c r="BM9" s="24"/>
      <c r="BN9" s="24"/>
      <c r="BO9" s="24"/>
      <c r="BP9" s="24"/>
      <c r="BQ9" s="24"/>
      <c r="BR9" s="24"/>
      <c r="BS9" s="24"/>
      <c r="BT9" s="24"/>
      <c r="BU9" s="24"/>
      <c r="BV9" s="24"/>
      <c r="BW9" s="24"/>
      <c r="BX9" s="24"/>
      <c r="BY9" s="24"/>
      <c r="BZ9" s="24"/>
      <c r="CA9" s="24"/>
      <c r="CB9" s="24"/>
      <c r="CC9" s="24"/>
      <c r="CD9" s="24"/>
      <c r="CE9" s="24"/>
      <c r="CF9" s="24"/>
      <c r="CG9" s="24"/>
      <c r="CH9" s="24"/>
      <c r="CI9" s="24"/>
      <c r="CJ9" s="24"/>
      <c r="CK9" s="24"/>
      <c r="CL9" s="24"/>
      <c r="CM9" s="24"/>
      <c r="CN9" s="24"/>
      <c r="CO9" s="24"/>
      <c r="CP9" s="24"/>
      <c r="CQ9" s="24"/>
      <c r="CR9" s="24"/>
      <c r="CS9" s="24"/>
      <c r="CT9" s="24"/>
      <c r="CU9" s="24"/>
      <c r="CV9" s="24"/>
    </row>
    <row r="10" spans="1:100" s="3" customFormat="1" ht="34.5" customHeight="1" thickBot="1" x14ac:dyDescent="0.3">
      <c r="A10" s="66" t="s">
        <v>44</v>
      </c>
      <c r="B10" s="64" t="s">
        <v>114</v>
      </c>
      <c r="C10" s="42" t="s">
        <v>75</v>
      </c>
      <c r="D10" s="35" t="s">
        <v>14</v>
      </c>
      <c r="E10" s="13">
        <v>1</v>
      </c>
      <c r="F10" s="61">
        <v>45905</v>
      </c>
      <c r="G10" s="61">
        <v>45905</v>
      </c>
      <c r="H10" s="10"/>
      <c r="I10" s="10">
        <f t="shared" si="46"/>
        <v>1</v>
      </c>
      <c r="J10" s="24"/>
      <c r="K10" s="24"/>
      <c r="L10" s="24"/>
      <c r="M10" s="24"/>
      <c r="N10" s="24"/>
      <c r="O10" s="24"/>
      <c r="P10" s="24"/>
      <c r="Q10" s="24"/>
      <c r="R10" s="24"/>
      <c r="S10" s="24"/>
      <c r="T10" s="24"/>
      <c r="U10" s="24"/>
      <c r="V10" s="25"/>
      <c r="W10" s="25"/>
      <c r="X10" s="24"/>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c r="BM10" s="24"/>
      <c r="BN10" s="24"/>
      <c r="BO10" s="24"/>
      <c r="BP10" s="24"/>
      <c r="BQ10" s="24"/>
      <c r="BR10" s="24"/>
      <c r="BS10" s="24"/>
      <c r="BT10" s="24"/>
      <c r="BU10" s="24"/>
      <c r="BV10" s="24"/>
      <c r="BW10" s="24"/>
      <c r="BX10" s="24"/>
      <c r="BY10" s="24"/>
      <c r="BZ10" s="24"/>
      <c r="CA10" s="24"/>
      <c r="CB10" s="24"/>
      <c r="CC10" s="24"/>
      <c r="CD10" s="24"/>
      <c r="CE10" s="24"/>
      <c r="CF10" s="24"/>
      <c r="CG10" s="24"/>
      <c r="CH10" s="24"/>
      <c r="CI10" s="24"/>
      <c r="CJ10" s="24"/>
      <c r="CK10" s="24"/>
      <c r="CL10" s="24"/>
      <c r="CM10" s="24"/>
      <c r="CN10" s="24"/>
      <c r="CO10" s="24"/>
      <c r="CP10" s="24"/>
      <c r="CQ10" s="24"/>
      <c r="CR10" s="24"/>
      <c r="CS10" s="24"/>
      <c r="CT10" s="24"/>
      <c r="CU10" s="24"/>
      <c r="CV10" s="24"/>
    </row>
    <row r="11" spans="1:100" s="3" customFormat="1" ht="30" customHeight="1" thickBot="1" x14ac:dyDescent="0.3">
      <c r="A11" s="66" t="s">
        <v>45</v>
      </c>
      <c r="B11" s="64" t="s">
        <v>115</v>
      </c>
      <c r="C11" s="42" t="s">
        <v>75</v>
      </c>
      <c r="D11" s="35" t="s">
        <v>14</v>
      </c>
      <c r="E11" s="13">
        <v>1</v>
      </c>
      <c r="F11" s="61">
        <v>45906</v>
      </c>
      <c r="G11" s="61">
        <v>45906</v>
      </c>
      <c r="H11" s="10"/>
      <c r="I11" s="10">
        <f t="shared" si="46"/>
        <v>1</v>
      </c>
      <c r="J11" s="24"/>
      <c r="K11" s="24"/>
      <c r="L11" s="24"/>
      <c r="M11" s="24"/>
      <c r="N11" s="24"/>
      <c r="O11" s="24"/>
      <c r="P11" s="24"/>
      <c r="Q11" s="24"/>
      <c r="R11" s="24"/>
      <c r="S11" s="24"/>
      <c r="T11" s="24"/>
      <c r="U11" s="24"/>
      <c r="V11" s="24"/>
      <c r="W11" s="24"/>
      <c r="X11" s="24"/>
      <c r="Y11" s="24"/>
      <c r="Z11" s="24"/>
      <c r="AA11" s="24"/>
      <c r="AB11" s="24"/>
      <c r="AC11" s="24"/>
      <c r="AD11" s="24"/>
      <c r="AE11" s="24"/>
      <c r="AF11" s="24"/>
      <c r="AG11" s="24"/>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c r="BL11" s="24"/>
      <c r="BM11" s="24"/>
      <c r="BN11" s="24"/>
      <c r="BO11" s="24"/>
      <c r="BP11" s="24"/>
      <c r="BQ11" s="24"/>
      <c r="BR11" s="24"/>
      <c r="BS11" s="24"/>
      <c r="BT11" s="24"/>
      <c r="BU11" s="24"/>
      <c r="BV11" s="24"/>
      <c r="BW11" s="24"/>
      <c r="BX11" s="24"/>
      <c r="BY11" s="24"/>
      <c r="BZ11" s="24"/>
      <c r="CA11" s="24"/>
      <c r="CB11" s="24"/>
      <c r="CC11" s="24"/>
      <c r="CD11" s="24"/>
      <c r="CE11" s="24"/>
      <c r="CF11" s="24"/>
      <c r="CG11" s="24"/>
      <c r="CH11" s="24"/>
      <c r="CI11" s="24"/>
      <c r="CJ11" s="24"/>
      <c r="CK11" s="24"/>
      <c r="CL11" s="24"/>
      <c r="CM11" s="24"/>
      <c r="CN11" s="24"/>
      <c r="CO11" s="24"/>
      <c r="CP11" s="24"/>
      <c r="CQ11" s="24"/>
      <c r="CR11" s="24"/>
      <c r="CS11" s="24"/>
      <c r="CT11" s="24"/>
      <c r="CU11" s="24"/>
      <c r="CV11" s="24"/>
    </row>
    <row r="12" spans="1:100" s="3" customFormat="1" ht="30" customHeight="1" thickBot="1" x14ac:dyDescent="0.3">
      <c r="A12" s="66" t="s">
        <v>118</v>
      </c>
      <c r="B12" s="64" t="s">
        <v>116</v>
      </c>
      <c r="C12" s="42" t="s">
        <v>75</v>
      </c>
      <c r="D12" s="35" t="s">
        <v>14</v>
      </c>
      <c r="E12" s="13">
        <v>1</v>
      </c>
      <c r="F12" s="61">
        <v>45907</v>
      </c>
      <c r="G12" s="61">
        <v>45907</v>
      </c>
      <c r="H12" s="10"/>
      <c r="I12" s="10"/>
      <c r="J12" s="24"/>
      <c r="K12" s="24"/>
      <c r="L12" s="24"/>
      <c r="M12" s="24"/>
      <c r="N12" s="24"/>
      <c r="O12" s="24"/>
      <c r="P12" s="24"/>
      <c r="Q12" s="24"/>
      <c r="R12" s="24"/>
      <c r="S12" s="24"/>
      <c r="T12" s="24"/>
      <c r="U12" s="24"/>
      <c r="V12" s="24"/>
      <c r="W12" s="24"/>
      <c r="X12" s="24"/>
      <c r="Y12" s="24"/>
      <c r="Z12" s="24"/>
      <c r="AA12" s="24"/>
      <c r="AB12" s="24"/>
      <c r="AC12" s="24"/>
      <c r="AD12" s="24"/>
      <c r="AE12" s="24"/>
      <c r="AF12" s="24"/>
      <c r="AG12" s="24"/>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c r="BH12" s="24"/>
      <c r="BI12" s="24"/>
      <c r="BJ12" s="24"/>
      <c r="BK12" s="24"/>
      <c r="BL12" s="24"/>
      <c r="BM12" s="24"/>
      <c r="BN12" s="24"/>
      <c r="BO12" s="24"/>
      <c r="BP12" s="24"/>
      <c r="BQ12" s="24"/>
      <c r="BR12" s="24"/>
      <c r="BS12" s="24"/>
      <c r="BT12" s="24"/>
      <c r="BU12" s="24"/>
      <c r="BV12" s="24"/>
      <c r="BW12" s="24"/>
      <c r="BX12" s="24"/>
      <c r="BY12" s="24"/>
      <c r="BZ12" s="24"/>
      <c r="CA12" s="24"/>
      <c r="CB12" s="24"/>
      <c r="CC12" s="24"/>
      <c r="CD12" s="24"/>
      <c r="CE12" s="24"/>
      <c r="CF12" s="24"/>
      <c r="CG12" s="24"/>
      <c r="CH12" s="24"/>
      <c r="CI12" s="24"/>
      <c r="CJ12" s="24"/>
      <c r="CK12" s="24"/>
      <c r="CL12" s="24"/>
      <c r="CM12" s="24"/>
      <c r="CN12" s="24"/>
      <c r="CO12" s="24"/>
      <c r="CP12" s="24"/>
      <c r="CQ12" s="24"/>
      <c r="CR12" s="24"/>
      <c r="CS12" s="24"/>
      <c r="CT12" s="24"/>
      <c r="CU12" s="24"/>
      <c r="CV12" s="24"/>
    </row>
    <row r="13" spans="1:100" s="3" customFormat="1" ht="30" customHeight="1" thickBot="1" x14ac:dyDescent="0.3">
      <c r="A13" s="66" t="s">
        <v>46</v>
      </c>
      <c r="B13" s="64" t="s">
        <v>16</v>
      </c>
      <c r="C13" s="42" t="s">
        <v>74</v>
      </c>
      <c r="D13" s="35" t="s">
        <v>14</v>
      </c>
      <c r="E13" s="13">
        <v>1</v>
      </c>
      <c r="F13" s="61">
        <v>45908</v>
      </c>
      <c r="G13" s="61">
        <v>45908</v>
      </c>
      <c r="H13" s="10"/>
      <c r="I13" s="10"/>
      <c r="J13" s="24"/>
      <c r="K13" s="24"/>
      <c r="L13" s="24"/>
      <c r="M13" s="24"/>
      <c r="N13" s="24"/>
      <c r="O13" s="24"/>
      <c r="P13" s="24"/>
      <c r="Q13" s="24"/>
      <c r="R13" s="24"/>
      <c r="S13" s="24"/>
      <c r="T13" s="24"/>
      <c r="U13" s="24"/>
      <c r="V13" s="24"/>
      <c r="W13" s="24"/>
      <c r="X13" s="24"/>
      <c r="Y13" s="24"/>
      <c r="Z13" s="24"/>
      <c r="AA13" s="24"/>
      <c r="AB13" s="24"/>
      <c r="AC13" s="24"/>
      <c r="AD13" s="24"/>
      <c r="AE13" s="24"/>
      <c r="AF13" s="24"/>
      <c r="AG13" s="24"/>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c r="BM13" s="24"/>
      <c r="BN13" s="24"/>
      <c r="BO13" s="24"/>
      <c r="BP13" s="24"/>
      <c r="BQ13" s="24"/>
      <c r="BR13" s="24"/>
      <c r="BS13" s="24"/>
      <c r="BT13" s="24"/>
      <c r="BU13" s="24"/>
      <c r="BV13" s="24"/>
      <c r="BW13" s="24"/>
      <c r="BX13" s="24"/>
      <c r="BY13" s="24"/>
      <c r="BZ13" s="24"/>
      <c r="CA13" s="24"/>
      <c r="CB13" s="24"/>
      <c r="CC13" s="24"/>
      <c r="CD13" s="24"/>
      <c r="CE13" s="24"/>
      <c r="CF13" s="24"/>
      <c r="CG13" s="24"/>
      <c r="CH13" s="24"/>
      <c r="CI13" s="24"/>
      <c r="CJ13" s="24"/>
      <c r="CK13" s="24"/>
      <c r="CL13" s="24"/>
      <c r="CM13" s="24"/>
      <c r="CN13" s="24"/>
      <c r="CO13" s="24"/>
      <c r="CP13" s="24"/>
      <c r="CQ13" s="24"/>
      <c r="CR13" s="24"/>
      <c r="CS13" s="24"/>
      <c r="CT13" s="24"/>
      <c r="CU13" s="24"/>
      <c r="CV13" s="24"/>
    </row>
    <row r="14" spans="1:100" s="3" customFormat="1" ht="30" customHeight="1" thickBot="1" x14ac:dyDescent="0.3">
      <c r="A14" s="66" t="s">
        <v>47</v>
      </c>
      <c r="B14" s="64" t="s">
        <v>119</v>
      </c>
      <c r="C14" s="42" t="s">
        <v>75</v>
      </c>
      <c r="D14" s="35" t="s">
        <v>14</v>
      </c>
      <c r="E14" s="13">
        <v>1</v>
      </c>
      <c r="F14" s="61">
        <v>45909</v>
      </c>
      <c r="G14" s="61">
        <v>45909</v>
      </c>
      <c r="H14" s="10"/>
      <c r="I14" s="10"/>
      <c r="J14" s="24"/>
      <c r="K14" s="24"/>
      <c r="L14" s="24"/>
      <c r="M14" s="24"/>
      <c r="N14" s="24"/>
      <c r="O14" s="24"/>
      <c r="P14" s="24"/>
      <c r="Q14" s="24"/>
      <c r="R14" s="24"/>
      <c r="S14" s="24"/>
      <c r="T14" s="24"/>
      <c r="U14" s="24"/>
      <c r="V14" s="24"/>
      <c r="W14" s="24"/>
      <c r="X14" s="24"/>
      <c r="Y14" s="24"/>
      <c r="Z14" s="24"/>
      <c r="AA14" s="24"/>
      <c r="AB14" s="24"/>
      <c r="AC14" s="24"/>
      <c r="AD14" s="24"/>
      <c r="AE14" s="24"/>
      <c r="AF14" s="24"/>
      <c r="AG14" s="24"/>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c r="BH14" s="24"/>
      <c r="BI14" s="24"/>
      <c r="BJ14" s="24"/>
      <c r="BK14" s="24"/>
      <c r="BL14" s="24"/>
      <c r="BM14" s="24"/>
      <c r="BN14" s="24"/>
      <c r="BO14" s="24"/>
      <c r="BP14" s="24"/>
      <c r="BQ14" s="24"/>
      <c r="BR14" s="24"/>
      <c r="BS14" s="24"/>
      <c r="BT14" s="24"/>
      <c r="BU14" s="24"/>
      <c r="BV14" s="24"/>
      <c r="BW14" s="24"/>
      <c r="BX14" s="24"/>
      <c r="BY14" s="24"/>
      <c r="BZ14" s="24"/>
      <c r="CA14" s="24"/>
      <c r="CB14" s="24"/>
      <c r="CC14" s="24"/>
      <c r="CD14" s="24"/>
      <c r="CE14" s="24"/>
      <c r="CF14" s="24"/>
      <c r="CG14" s="24"/>
      <c r="CH14" s="24"/>
      <c r="CI14" s="24"/>
      <c r="CJ14" s="24"/>
      <c r="CK14" s="24"/>
      <c r="CL14" s="24"/>
      <c r="CM14" s="24"/>
      <c r="CN14" s="24"/>
      <c r="CO14" s="24"/>
      <c r="CP14" s="24"/>
      <c r="CQ14" s="24"/>
      <c r="CR14" s="24"/>
      <c r="CS14" s="24"/>
      <c r="CT14" s="24"/>
      <c r="CU14" s="24"/>
      <c r="CV14" s="24"/>
    </row>
    <row r="15" spans="1:100" s="3" customFormat="1" ht="30" customHeight="1" thickBot="1" x14ac:dyDescent="0.3">
      <c r="A15" s="66" t="s">
        <v>48</v>
      </c>
      <c r="B15" s="64" t="s">
        <v>120</v>
      </c>
      <c r="C15" s="42" t="s">
        <v>75</v>
      </c>
      <c r="D15" s="35" t="s">
        <v>14</v>
      </c>
      <c r="E15" s="13">
        <v>1</v>
      </c>
      <c r="F15" s="61">
        <v>45910</v>
      </c>
      <c r="G15" s="61">
        <v>45911</v>
      </c>
      <c r="H15" s="10"/>
      <c r="I15" s="10">
        <f t="shared" si="46"/>
        <v>2</v>
      </c>
      <c r="J15" s="24"/>
      <c r="K15" s="24"/>
      <c r="L15" s="24"/>
      <c r="M15" s="24"/>
      <c r="N15" s="24"/>
      <c r="O15" s="24"/>
      <c r="P15" s="24"/>
      <c r="Q15" s="24"/>
      <c r="R15" s="24"/>
      <c r="S15" s="24"/>
      <c r="T15" s="24"/>
      <c r="U15" s="24"/>
      <c r="V15" s="24"/>
      <c r="W15" s="24"/>
      <c r="X15" s="24"/>
      <c r="Y15" s="24"/>
      <c r="Z15" s="25"/>
      <c r="AA15" s="24"/>
      <c r="AB15" s="24"/>
      <c r="AC15" s="24"/>
      <c r="AD15" s="24"/>
      <c r="AE15" s="24"/>
      <c r="AF15" s="24"/>
      <c r="AG15" s="24"/>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c r="BM15" s="24"/>
      <c r="BN15" s="24"/>
      <c r="BO15" s="24"/>
      <c r="BP15" s="24"/>
      <c r="BQ15" s="24"/>
      <c r="BR15" s="24"/>
      <c r="BS15" s="24"/>
      <c r="BT15" s="24"/>
      <c r="BU15" s="24"/>
      <c r="BV15" s="24"/>
      <c r="BW15" s="24"/>
      <c r="BX15" s="24"/>
      <c r="BY15" s="24"/>
      <c r="BZ15" s="24"/>
      <c r="CA15" s="24"/>
      <c r="CB15" s="24"/>
      <c r="CC15" s="24"/>
      <c r="CD15" s="24"/>
      <c r="CE15" s="24"/>
      <c r="CF15" s="24"/>
      <c r="CG15" s="24"/>
      <c r="CH15" s="24"/>
      <c r="CI15" s="24"/>
      <c r="CJ15" s="24"/>
      <c r="CK15" s="24"/>
      <c r="CL15" s="24"/>
      <c r="CM15" s="24"/>
      <c r="CN15" s="24"/>
      <c r="CO15" s="24"/>
      <c r="CP15" s="24"/>
      <c r="CQ15" s="24"/>
      <c r="CR15" s="24"/>
      <c r="CS15" s="24"/>
      <c r="CT15" s="24"/>
      <c r="CU15" s="24"/>
      <c r="CV15" s="24"/>
    </row>
    <row r="16" spans="1:100" s="3" customFormat="1" ht="30" customHeight="1" thickBot="1" x14ac:dyDescent="0.3">
      <c r="A16" s="66"/>
      <c r="B16" s="67" t="s">
        <v>20</v>
      </c>
      <c r="C16" s="14"/>
      <c r="D16" s="36"/>
      <c r="E16" s="15"/>
      <c r="F16" s="51"/>
      <c r="G16" s="52"/>
      <c r="H16" s="10"/>
      <c r="I16" s="10" t="str">
        <f t="shared" si="46"/>
        <v/>
      </c>
      <c r="J16" s="24"/>
      <c r="K16" s="24"/>
      <c r="L16" s="24"/>
      <c r="M16" s="24"/>
      <c r="N16" s="24"/>
      <c r="O16" s="24"/>
      <c r="P16" s="24"/>
      <c r="Q16" s="24"/>
      <c r="R16" s="24"/>
      <c r="S16" s="24"/>
      <c r="T16" s="24"/>
      <c r="U16" s="24"/>
      <c r="V16" s="24"/>
      <c r="W16" s="24"/>
      <c r="X16" s="24"/>
      <c r="Y16" s="24"/>
      <c r="Z16" s="24"/>
      <c r="AA16" s="24"/>
      <c r="AB16" s="24"/>
      <c r="AC16" s="24"/>
      <c r="AD16" s="24"/>
      <c r="AE16" s="24"/>
      <c r="AF16" s="24"/>
      <c r="AG16" s="24"/>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c r="BH16" s="24"/>
      <c r="BI16" s="24"/>
      <c r="BJ16" s="24"/>
      <c r="BK16" s="24"/>
      <c r="BL16" s="24"/>
      <c r="BM16" s="24"/>
      <c r="BN16" s="24"/>
      <c r="BO16" s="24"/>
      <c r="BP16" s="24"/>
      <c r="BQ16" s="24"/>
      <c r="BR16" s="24"/>
      <c r="BS16" s="24"/>
      <c r="BT16" s="24"/>
      <c r="BU16" s="24"/>
      <c r="BV16" s="24"/>
      <c r="BW16" s="24"/>
      <c r="BX16" s="24"/>
      <c r="BY16" s="24"/>
      <c r="BZ16" s="24"/>
      <c r="CA16" s="24"/>
      <c r="CB16" s="24"/>
      <c r="CC16" s="24"/>
      <c r="CD16" s="24"/>
      <c r="CE16" s="24"/>
      <c r="CF16" s="24"/>
      <c r="CG16" s="24"/>
      <c r="CH16" s="24"/>
      <c r="CI16" s="24"/>
      <c r="CJ16" s="24"/>
      <c r="CK16" s="24"/>
      <c r="CL16" s="24"/>
      <c r="CM16" s="24"/>
      <c r="CN16" s="24"/>
      <c r="CO16" s="24"/>
      <c r="CP16" s="24"/>
      <c r="CQ16" s="24"/>
      <c r="CR16" s="24"/>
      <c r="CS16" s="24"/>
      <c r="CT16" s="24"/>
      <c r="CU16" s="24"/>
      <c r="CV16" s="24"/>
    </row>
    <row r="17" spans="1:100" s="3" customFormat="1" ht="30" customHeight="1" thickBot="1" x14ac:dyDescent="0.3">
      <c r="A17" s="66" t="s">
        <v>49</v>
      </c>
      <c r="B17" s="68" t="s">
        <v>21</v>
      </c>
      <c r="C17" s="43" t="s">
        <v>75</v>
      </c>
      <c r="D17" s="37" t="s">
        <v>41</v>
      </c>
      <c r="E17" s="16">
        <v>1</v>
      </c>
      <c r="F17" s="62">
        <v>45912</v>
      </c>
      <c r="G17" s="62">
        <v>45913</v>
      </c>
      <c r="H17" s="10"/>
      <c r="I17" s="10">
        <f t="shared" si="46"/>
        <v>2</v>
      </c>
      <c r="J17" s="24"/>
      <c r="K17" s="24"/>
      <c r="L17" s="24"/>
      <c r="M17" s="24"/>
      <c r="N17" s="24"/>
      <c r="O17" s="24"/>
      <c r="P17" s="24"/>
      <c r="Q17" s="24"/>
      <c r="R17" s="24"/>
      <c r="S17" s="24"/>
      <c r="T17" s="24"/>
      <c r="U17" s="24"/>
      <c r="V17" s="24"/>
      <c r="W17" s="24"/>
      <c r="X17" s="24"/>
      <c r="Y17" s="24"/>
      <c r="Z17" s="24"/>
      <c r="AA17" s="24"/>
      <c r="AB17" s="24"/>
      <c r="AC17" s="24"/>
      <c r="AD17" s="24"/>
      <c r="AE17" s="24"/>
      <c r="AF17" s="24"/>
      <c r="AG17" s="24"/>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c r="BH17" s="24"/>
      <c r="BI17" s="24"/>
      <c r="BJ17" s="24"/>
      <c r="BK17" s="24"/>
      <c r="BL17" s="24"/>
      <c r="BM17" s="24"/>
      <c r="BN17" s="24"/>
      <c r="BO17" s="24"/>
      <c r="BP17" s="24"/>
      <c r="BQ17" s="24"/>
      <c r="BR17" s="24"/>
      <c r="BS17" s="24"/>
      <c r="BT17" s="24"/>
      <c r="BU17" s="24"/>
      <c r="BV17" s="24"/>
      <c r="BW17" s="24"/>
      <c r="BX17" s="24"/>
      <c r="BY17" s="24"/>
      <c r="BZ17" s="24"/>
      <c r="CA17" s="24"/>
      <c r="CB17" s="24"/>
      <c r="CC17" s="24"/>
      <c r="CD17" s="24"/>
      <c r="CE17" s="24"/>
      <c r="CF17" s="24"/>
      <c r="CG17" s="24"/>
      <c r="CH17" s="24"/>
      <c r="CI17" s="24"/>
      <c r="CJ17" s="24"/>
      <c r="CK17" s="24"/>
      <c r="CL17" s="24"/>
      <c r="CM17" s="24"/>
      <c r="CN17" s="24"/>
      <c r="CO17" s="24"/>
      <c r="CP17" s="24"/>
      <c r="CQ17" s="24"/>
      <c r="CR17" s="24"/>
      <c r="CS17" s="24"/>
      <c r="CT17" s="24"/>
      <c r="CU17" s="24"/>
      <c r="CV17" s="24"/>
    </row>
    <row r="18" spans="1:100" s="3" customFormat="1" ht="30" customHeight="1" thickBot="1" x14ac:dyDescent="0.3">
      <c r="A18" s="66" t="s">
        <v>50</v>
      </c>
      <c r="B18" s="68" t="s">
        <v>22</v>
      </c>
      <c r="C18" s="43" t="s">
        <v>75</v>
      </c>
      <c r="D18" s="37" t="s">
        <v>32</v>
      </c>
      <c r="E18" s="16">
        <v>1</v>
      </c>
      <c r="F18" s="62"/>
      <c r="G18" s="62"/>
      <c r="H18" s="10"/>
      <c r="I18" s="10"/>
      <c r="J18" s="24"/>
      <c r="K18" s="24"/>
      <c r="L18" s="24"/>
      <c r="M18" s="24"/>
      <c r="N18" s="24"/>
      <c r="O18" s="24"/>
      <c r="P18" s="24"/>
      <c r="Q18" s="24"/>
      <c r="R18" s="24"/>
      <c r="S18" s="24"/>
      <c r="T18" s="24"/>
      <c r="U18" s="24"/>
      <c r="V18" s="24"/>
      <c r="W18" s="24"/>
      <c r="X18" s="24"/>
      <c r="Y18" s="24"/>
      <c r="Z18" s="24"/>
      <c r="AA18" s="24"/>
      <c r="AB18" s="24"/>
      <c r="AC18" s="24"/>
      <c r="AD18" s="24"/>
      <c r="AE18" s="24"/>
      <c r="AF18" s="24"/>
      <c r="AG18" s="24"/>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c r="BM18" s="24"/>
      <c r="BN18" s="24"/>
      <c r="BO18" s="24"/>
      <c r="BP18" s="24"/>
      <c r="BQ18" s="24"/>
      <c r="BR18" s="24"/>
      <c r="BS18" s="24"/>
      <c r="BT18" s="24"/>
      <c r="BU18" s="24"/>
      <c r="BV18" s="24"/>
      <c r="BW18" s="24"/>
      <c r="BX18" s="24"/>
      <c r="BY18" s="24"/>
      <c r="BZ18" s="24"/>
      <c r="CA18" s="24"/>
      <c r="CB18" s="24"/>
      <c r="CC18" s="24"/>
      <c r="CD18" s="24"/>
      <c r="CE18" s="24"/>
      <c r="CF18" s="24"/>
      <c r="CG18" s="24"/>
      <c r="CH18" s="24"/>
      <c r="CI18" s="24"/>
      <c r="CJ18" s="24"/>
      <c r="CK18" s="24"/>
      <c r="CL18" s="24"/>
      <c r="CM18" s="24"/>
      <c r="CN18" s="24"/>
      <c r="CO18" s="24"/>
      <c r="CP18" s="24"/>
      <c r="CQ18" s="24"/>
      <c r="CR18" s="24"/>
      <c r="CS18" s="24"/>
      <c r="CT18" s="24"/>
      <c r="CU18" s="24"/>
      <c r="CV18" s="24"/>
    </row>
    <row r="19" spans="1:100" s="3" customFormat="1" ht="30" customHeight="1" thickBot="1" x14ac:dyDescent="0.3">
      <c r="A19" s="66" t="s">
        <v>111</v>
      </c>
      <c r="B19" s="68" t="s">
        <v>117</v>
      </c>
      <c r="C19" s="43" t="s">
        <v>74</v>
      </c>
      <c r="D19" s="37" t="s">
        <v>32</v>
      </c>
      <c r="E19" s="16">
        <v>1</v>
      </c>
      <c r="F19" s="62">
        <v>45912</v>
      </c>
      <c r="G19" s="62">
        <v>45915</v>
      </c>
      <c r="H19" s="10"/>
      <c r="I19" s="10">
        <f t="shared" si="46"/>
        <v>4</v>
      </c>
      <c r="J19" s="24"/>
      <c r="K19" s="24"/>
      <c r="L19" s="24"/>
      <c r="M19" s="24"/>
      <c r="N19" s="24"/>
      <c r="O19" s="24"/>
      <c r="P19" s="24"/>
      <c r="Q19" s="24"/>
      <c r="R19" s="24"/>
      <c r="S19" s="24"/>
      <c r="T19" s="24"/>
      <c r="U19" s="24"/>
      <c r="V19" s="25"/>
      <c r="W19" s="25"/>
      <c r="X19" s="24"/>
      <c r="Y19" s="24"/>
      <c r="Z19" s="24"/>
      <c r="AA19" s="24"/>
      <c r="AB19" s="24"/>
      <c r="AC19" s="24"/>
      <c r="AD19" s="24"/>
      <c r="AE19" s="24"/>
      <c r="AF19" s="24"/>
      <c r="AG19" s="24"/>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4"/>
      <c r="BF19" s="24"/>
      <c r="BG19" s="24"/>
      <c r="BH19" s="24"/>
      <c r="BI19" s="24"/>
      <c r="BJ19" s="24"/>
      <c r="BK19" s="24"/>
      <c r="BL19" s="24"/>
      <c r="BM19" s="24"/>
      <c r="BN19" s="24"/>
      <c r="BO19" s="24"/>
      <c r="BP19" s="24"/>
      <c r="BQ19" s="24"/>
      <c r="BR19" s="24"/>
      <c r="BS19" s="24"/>
      <c r="BT19" s="24"/>
      <c r="BU19" s="24"/>
      <c r="BV19" s="24"/>
      <c r="BW19" s="24"/>
      <c r="BX19" s="24"/>
      <c r="BY19" s="24"/>
      <c r="BZ19" s="24"/>
      <c r="CA19" s="24"/>
      <c r="CB19" s="24"/>
      <c r="CC19" s="24"/>
      <c r="CD19" s="24"/>
      <c r="CE19" s="24"/>
      <c r="CF19" s="24"/>
      <c r="CG19" s="24"/>
      <c r="CH19" s="24"/>
      <c r="CI19" s="24"/>
      <c r="CJ19" s="24"/>
      <c r="CK19" s="24"/>
      <c r="CL19" s="24"/>
      <c r="CM19" s="24"/>
      <c r="CN19" s="24"/>
      <c r="CO19" s="24"/>
      <c r="CP19" s="24"/>
      <c r="CQ19" s="24"/>
      <c r="CR19" s="24"/>
      <c r="CS19" s="24"/>
      <c r="CT19" s="24"/>
      <c r="CU19" s="24"/>
      <c r="CV19" s="24"/>
    </row>
    <row r="20" spans="1:100" s="3" customFormat="1" ht="30" customHeight="1" thickBot="1" x14ac:dyDescent="0.3">
      <c r="A20" s="66"/>
      <c r="B20" s="69" t="s">
        <v>23</v>
      </c>
      <c r="C20" s="17"/>
      <c r="D20" s="38"/>
      <c r="E20" s="18"/>
      <c r="F20" s="53"/>
      <c r="G20" s="54"/>
      <c r="H20" s="10"/>
      <c r="I20" s="10" t="str">
        <f t="shared" si="46"/>
        <v/>
      </c>
      <c r="J20" s="24"/>
      <c r="K20" s="24"/>
      <c r="L20" s="24"/>
      <c r="M20" s="24"/>
      <c r="N20" s="24"/>
      <c r="O20" s="24"/>
      <c r="P20" s="24"/>
      <c r="Q20" s="24"/>
      <c r="R20" s="24"/>
      <c r="S20" s="24"/>
      <c r="T20" s="24"/>
      <c r="U20" s="24"/>
      <c r="V20" s="24"/>
      <c r="W20" s="24"/>
      <c r="X20" s="24"/>
      <c r="Y20" s="24"/>
      <c r="Z20" s="24"/>
      <c r="AA20" s="24"/>
      <c r="AB20" s="24"/>
      <c r="AC20" s="24"/>
      <c r="AD20" s="24"/>
      <c r="AE20" s="24"/>
      <c r="AF20" s="24"/>
      <c r="AG20" s="24"/>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4"/>
      <c r="BF20" s="24"/>
      <c r="BG20" s="24"/>
      <c r="BH20" s="24"/>
      <c r="BI20" s="24"/>
      <c r="BJ20" s="24"/>
      <c r="BK20" s="24"/>
      <c r="BL20" s="24"/>
      <c r="BM20" s="24"/>
      <c r="BN20" s="24"/>
      <c r="BO20" s="24"/>
      <c r="BP20" s="24"/>
      <c r="BQ20" s="24"/>
      <c r="BR20" s="24"/>
      <c r="BS20" s="24"/>
      <c r="BT20" s="24"/>
      <c r="BU20" s="24"/>
      <c r="BV20" s="24"/>
      <c r="BW20" s="24"/>
      <c r="BX20" s="24"/>
      <c r="BY20" s="24"/>
      <c r="BZ20" s="24"/>
      <c r="CA20" s="24"/>
      <c r="CB20" s="24"/>
      <c r="CC20" s="24"/>
      <c r="CD20" s="24"/>
      <c r="CE20" s="24"/>
      <c r="CF20" s="24"/>
      <c r="CG20" s="24"/>
      <c r="CH20" s="24"/>
      <c r="CI20" s="24"/>
      <c r="CJ20" s="24"/>
      <c r="CK20" s="24"/>
      <c r="CL20" s="24"/>
      <c r="CM20" s="24"/>
      <c r="CN20" s="24"/>
      <c r="CO20" s="24"/>
      <c r="CP20" s="24"/>
      <c r="CQ20" s="24"/>
      <c r="CR20" s="24"/>
      <c r="CS20" s="24"/>
      <c r="CT20" s="24"/>
      <c r="CU20" s="24"/>
      <c r="CV20" s="24"/>
    </row>
    <row r="21" spans="1:100" s="3" customFormat="1" ht="30" customHeight="1" thickBot="1" x14ac:dyDescent="0.3">
      <c r="A21" s="66" t="s">
        <v>51</v>
      </c>
      <c r="B21" s="70" t="s">
        <v>105</v>
      </c>
      <c r="C21" s="44" t="s">
        <v>75</v>
      </c>
      <c r="D21" s="39" t="s">
        <v>32</v>
      </c>
      <c r="E21" s="19">
        <v>1</v>
      </c>
      <c r="F21" s="55">
        <v>45922</v>
      </c>
      <c r="G21" s="55">
        <v>45924</v>
      </c>
      <c r="H21" s="10"/>
      <c r="I21" s="10">
        <f t="shared" si="46"/>
        <v>3</v>
      </c>
      <c r="J21" s="24"/>
      <c r="K21" s="24"/>
      <c r="L21" s="24"/>
      <c r="M21" s="24"/>
      <c r="N21" s="24"/>
      <c r="O21" s="24"/>
      <c r="P21" s="24"/>
      <c r="Q21" s="24"/>
      <c r="R21" s="24"/>
      <c r="S21" s="24"/>
      <c r="T21" s="24"/>
      <c r="U21" s="24"/>
      <c r="V21" s="24"/>
      <c r="W21" s="24"/>
      <c r="X21" s="24"/>
      <c r="Y21" s="24"/>
      <c r="Z21" s="24"/>
      <c r="AA21" s="24"/>
      <c r="AB21" s="24"/>
      <c r="AC21" s="24"/>
      <c r="AD21" s="24"/>
      <c r="AE21" s="24"/>
      <c r="AF21" s="24"/>
      <c r="AG21" s="24"/>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c r="BH21" s="24"/>
      <c r="BI21" s="24"/>
      <c r="BJ21" s="24"/>
      <c r="BK21" s="24"/>
      <c r="BL21" s="24"/>
      <c r="BM21" s="24"/>
      <c r="BN21" s="24"/>
      <c r="BO21" s="24"/>
      <c r="BP21" s="24"/>
      <c r="BQ21" s="24"/>
      <c r="BR21" s="24"/>
      <c r="BS21" s="24"/>
      <c r="BT21" s="24"/>
      <c r="BU21" s="24"/>
      <c r="BV21" s="24"/>
      <c r="BW21" s="24"/>
      <c r="BX21" s="24"/>
      <c r="BY21" s="24"/>
      <c r="BZ21" s="24"/>
      <c r="CA21" s="24"/>
      <c r="CB21" s="24"/>
      <c r="CC21" s="24"/>
      <c r="CD21" s="24"/>
      <c r="CE21" s="24"/>
      <c r="CF21" s="24"/>
      <c r="CG21" s="24"/>
      <c r="CH21" s="24"/>
      <c r="CI21" s="24"/>
      <c r="CJ21" s="24"/>
      <c r="CK21" s="24"/>
      <c r="CL21" s="24"/>
      <c r="CM21" s="24"/>
      <c r="CN21" s="24"/>
      <c r="CO21" s="24"/>
      <c r="CP21" s="24"/>
      <c r="CQ21" s="24"/>
      <c r="CR21" s="24"/>
      <c r="CS21" s="24"/>
      <c r="CT21" s="24"/>
      <c r="CU21" s="24"/>
      <c r="CV21" s="24"/>
    </row>
    <row r="22" spans="1:100" s="3" customFormat="1" ht="30" customHeight="1" thickBot="1" x14ac:dyDescent="0.3">
      <c r="A22" s="66" t="s">
        <v>52</v>
      </c>
      <c r="B22" s="70" t="s">
        <v>103</v>
      </c>
      <c r="C22" s="44" t="s">
        <v>75</v>
      </c>
      <c r="D22" s="39" t="s">
        <v>32</v>
      </c>
      <c r="E22" s="19">
        <v>1</v>
      </c>
      <c r="F22" s="55">
        <v>45924</v>
      </c>
      <c r="G22" s="55">
        <v>45926</v>
      </c>
      <c r="H22" s="10"/>
      <c r="I22" s="10"/>
      <c r="J22" s="24"/>
      <c r="K22" s="24"/>
      <c r="L22" s="24"/>
      <c r="M22" s="24"/>
      <c r="N22" s="24"/>
      <c r="O22" s="24"/>
      <c r="P22" s="24"/>
      <c r="Q22" s="24"/>
      <c r="R22" s="24"/>
      <c r="S22" s="24"/>
      <c r="T22" s="24"/>
      <c r="U22" s="24"/>
      <c r="V22" s="24"/>
      <c r="W22" s="24"/>
      <c r="X22" s="24"/>
      <c r="Y22" s="24"/>
      <c r="Z22" s="24"/>
      <c r="AA22" s="24"/>
      <c r="AB22" s="24"/>
      <c r="AC22" s="24"/>
      <c r="AD22" s="24"/>
      <c r="AE22" s="24"/>
      <c r="AF22" s="24"/>
      <c r="AG22" s="24"/>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c r="BH22" s="24"/>
      <c r="BI22" s="24"/>
      <c r="BJ22" s="24"/>
      <c r="BK22" s="24"/>
      <c r="BL22" s="24"/>
      <c r="BM22" s="24"/>
      <c r="BN22" s="24"/>
      <c r="BO22" s="24"/>
      <c r="BP22" s="24"/>
      <c r="BQ22" s="24"/>
      <c r="BR22" s="24"/>
      <c r="BS22" s="24"/>
      <c r="BT22" s="24"/>
      <c r="BU22" s="24"/>
      <c r="BV22" s="24"/>
      <c r="BW22" s="24"/>
      <c r="BX22" s="24"/>
      <c r="BY22" s="24"/>
      <c r="BZ22" s="24"/>
      <c r="CA22" s="24"/>
      <c r="CB22" s="24"/>
      <c r="CC22" s="24"/>
      <c r="CD22" s="24"/>
      <c r="CE22" s="24"/>
      <c r="CF22" s="24"/>
      <c r="CG22" s="24"/>
      <c r="CH22" s="24"/>
      <c r="CI22" s="24"/>
      <c r="CJ22" s="24"/>
      <c r="CK22" s="24"/>
      <c r="CL22" s="24"/>
      <c r="CM22" s="24"/>
      <c r="CN22" s="24"/>
      <c r="CO22" s="24"/>
      <c r="CP22" s="24"/>
      <c r="CQ22" s="24"/>
      <c r="CR22" s="24"/>
      <c r="CS22" s="24"/>
      <c r="CT22" s="24"/>
      <c r="CU22" s="24"/>
      <c r="CV22" s="24"/>
    </row>
    <row r="23" spans="1:100" s="3" customFormat="1" ht="30" customHeight="1" thickBot="1" x14ac:dyDescent="0.3">
      <c r="A23" s="66" t="s">
        <v>53</v>
      </c>
      <c r="B23" s="70" t="s">
        <v>107</v>
      </c>
      <c r="C23" s="44" t="s">
        <v>75</v>
      </c>
      <c r="D23" s="39" t="s">
        <v>31</v>
      </c>
      <c r="E23" s="19">
        <v>1</v>
      </c>
      <c r="F23" s="55">
        <v>45929</v>
      </c>
      <c r="G23" s="55">
        <v>45930</v>
      </c>
      <c r="H23" s="10"/>
      <c r="I23" s="10">
        <f t="shared" si="46"/>
        <v>2</v>
      </c>
      <c r="J23" s="24"/>
      <c r="K23" s="24"/>
      <c r="L23" s="24"/>
      <c r="M23" s="24"/>
      <c r="N23" s="24"/>
      <c r="O23" s="24"/>
      <c r="P23" s="24"/>
      <c r="Q23" s="24"/>
      <c r="R23" s="24"/>
      <c r="S23" s="24"/>
      <c r="T23" s="24"/>
      <c r="U23" s="24"/>
      <c r="V23" s="24"/>
      <c r="W23" s="24"/>
      <c r="X23" s="24"/>
      <c r="Y23" s="24"/>
      <c r="Z23" s="24"/>
      <c r="AA23" s="24"/>
      <c r="AB23" s="24"/>
      <c r="AC23" s="24"/>
      <c r="AD23" s="24"/>
      <c r="AE23" s="24"/>
      <c r="AF23" s="24"/>
      <c r="AG23" s="24"/>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c r="BH23" s="24"/>
      <c r="BI23" s="24"/>
      <c r="BJ23" s="24"/>
      <c r="BK23" s="24"/>
      <c r="BL23" s="24"/>
      <c r="BM23" s="24"/>
      <c r="BN23" s="24"/>
      <c r="BO23" s="24"/>
      <c r="BP23" s="24"/>
      <c r="BQ23" s="24"/>
      <c r="BR23" s="24"/>
      <c r="BS23" s="24"/>
      <c r="BT23" s="24"/>
      <c r="BU23" s="24"/>
      <c r="BV23" s="24"/>
      <c r="BW23" s="24"/>
      <c r="BX23" s="24"/>
      <c r="BY23" s="24"/>
      <c r="BZ23" s="24"/>
      <c r="CA23" s="24"/>
      <c r="CB23" s="24"/>
      <c r="CC23" s="24"/>
      <c r="CD23" s="24"/>
      <c r="CE23" s="24"/>
      <c r="CF23" s="24"/>
      <c r="CG23" s="24"/>
      <c r="CH23" s="24"/>
      <c r="CI23" s="24"/>
      <c r="CJ23" s="24"/>
      <c r="CK23" s="24"/>
      <c r="CL23" s="24"/>
      <c r="CM23" s="24"/>
      <c r="CN23" s="24"/>
      <c r="CO23" s="24"/>
      <c r="CP23" s="24"/>
      <c r="CQ23" s="24"/>
      <c r="CR23" s="24"/>
      <c r="CS23" s="24"/>
      <c r="CT23" s="24"/>
      <c r="CU23" s="24"/>
      <c r="CV23" s="24"/>
    </row>
    <row r="24" spans="1:100" s="3" customFormat="1" ht="30" customHeight="1" thickBot="1" x14ac:dyDescent="0.3">
      <c r="A24" s="66" t="s">
        <v>54</v>
      </c>
      <c r="B24" s="70" t="s">
        <v>108</v>
      </c>
      <c r="C24" s="44" t="s">
        <v>75</v>
      </c>
      <c r="D24" s="39" t="s">
        <v>32</v>
      </c>
      <c r="E24" s="19">
        <v>1</v>
      </c>
      <c r="F24" s="55">
        <v>45930</v>
      </c>
      <c r="G24" s="55">
        <v>45931</v>
      </c>
      <c r="H24" s="10"/>
      <c r="I24" s="10"/>
      <c r="J24" s="24"/>
      <c r="K24" s="24"/>
      <c r="L24" s="24"/>
      <c r="M24" s="24"/>
      <c r="N24" s="24"/>
      <c r="O24" s="24"/>
      <c r="P24" s="24"/>
      <c r="Q24" s="24"/>
      <c r="R24" s="24"/>
      <c r="S24" s="24"/>
      <c r="T24" s="24"/>
      <c r="U24" s="24"/>
      <c r="V24" s="24"/>
      <c r="W24" s="24"/>
      <c r="X24" s="24"/>
      <c r="Y24" s="24"/>
      <c r="Z24" s="24"/>
      <c r="AA24" s="24"/>
      <c r="AB24" s="24"/>
      <c r="AC24" s="24"/>
      <c r="AD24" s="24"/>
      <c r="AE24" s="24"/>
      <c r="AF24" s="24"/>
      <c r="AG24" s="24"/>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c r="BH24" s="24"/>
      <c r="BI24" s="24"/>
      <c r="BJ24" s="24"/>
      <c r="BK24" s="24"/>
      <c r="BL24" s="24"/>
      <c r="BM24" s="24"/>
      <c r="BN24" s="24"/>
      <c r="BO24" s="24"/>
      <c r="BP24" s="24"/>
      <c r="BQ24" s="24"/>
      <c r="BR24" s="24"/>
      <c r="BS24" s="24"/>
      <c r="BT24" s="24"/>
      <c r="BU24" s="24"/>
      <c r="BV24" s="24"/>
      <c r="BW24" s="24"/>
      <c r="BX24" s="24"/>
      <c r="BY24" s="24"/>
      <c r="BZ24" s="24"/>
      <c r="CA24" s="24"/>
      <c r="CB24" s="24"/>
      <c r="CC24" s="24"/>
      <c r="CD24" s="24"/>
      <c r="CE24" s="24"/>
      <c r="CF24" s="24"/>
      <c r="CG24" s="24"/>
      <c r="CH24" s="24"/>
      <c r="CI24" s="24"/>
      <c r="CJ24" s="24"/>
      <c r="CK24" s="24"/>
      <c r="CL24" s="24"/>
      <c r="CM24" s="24"/>
      <c r="CN24" s="24"/>
      <c r="CO24" s="24"/>
      <c r="CP24" s="24"/>
      <c r="CQ24" s="24"/>
      <c r="CR24" s="24"/>
      <c r="CS24" s="24"/>
      <c r="CT24" s="24"/>
      <c r="CU24" s="24"/>
      <c r="CV24" s="24"/>
    </row>
    <row r="25" spans="1:100" s="3" customFormat="1" ht="30" customHeight="1" thickBot="1" x14ac:dyDescent="0.3">
      <c r="A25" s="66" t="s">
        <v>55</v>
      </c>
      <c r="B25" s="70" t="s">
        <v>109</v>
      </c>
      <c r="C25" s="44" t="s">
        <v>75</v>
      </c>
      <c r="D25" s="39" t="s">
        <v>32</v>
      </c>
      <c r="E25" s="19">
        <v>1</v>
      </c>
      <c r="F25" s="55">
        <v>45936</v>
      </c>
      <c r="G25" s="55">
        <v>45937</v>
      </c>
      <c r="H25" s="10"/>
      <c r="I25" s="10">
        <f t="shared" si="46"/>
        <v>2</v>
      </c>
      <c r="J25" s="24"/>
      <c r="K25" s="24"/>
      <c r="L25" s="24"/>
      <c r="M25" s="24"/>
      <c r="N25" s="24"/>
      <c r="O25" s="24"/>
      <c r="P25" s="24"/>
      <c r="Q25" s="24"/>
      <c r="R25" s="24"/>
      <c r="S25" s="24"/>
      <c r="T25" s="24"/>
      <c r="U25" s="24"/>
      <c r="V25" s="24"/>
      <c r="W25" s="24"/>
      <c r="X25" s="24"/>
      <c r="Y25" s="24"/>
      <c r="Z25" s="24"/>
      <c r="AA25" s="24"/>
      <c r="AB25" s="24"/>
      <c r="AC25" s="24"/>
      <c r="AD25" s="24"/>
      <c r="AE25" s="24"/>
      <c r="AF25" s="24"/>
      <c r="AG25" s="24"/>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c r="BH25" s="24"/>
      <c r="BI25" s="24"/>
      <c r="BJ25" s="24"/>
      <c r="BK25" s="24"/>
      <c r="BL25" s="24"/>
      <c r="BM25" s="24"/>
      <c r="BN25" s="24"/>
      <c r="BO25" s="24"/>
      <c r="BP25" s="24"/>
      <c r="BQ25" s="24"/>
      <c r="BR25" s="24"/>
      <c r="BS25" s="24"/>
      <c r="BT25" s="24"/>
      <c r="BU25" s="24"/>
      <c r="BV25" s="24"/>
      <c r="BW25" s="24"/>
      <c r="BX25" s="24"/>
      <c r="BY25" s="24"/>
      <c r="BZ25" s="24"/>
      <c r="CA25" s="24"/>
      <c r="CB25" s="24"/>
      <c r="CC25" s="24"/>
      <c r="CD25" s="24"/>
      <c r="CE25" s="24"/>
      <c r="CF25" s="24"/>
      <c r="CG25" s="24"/>
      <c r="CH25" s="24"/>
      <c r="CI25" s="24"/>
      <c r="CJ25" s="24"/>
      <c r="CK25" s="24"/>
      <c r="CL25" s="24"/>
      <c r="CM25" s="24"/>
      <c r="CN25" s="24"/>
      <c r="CO25" s="24"/>
      <c r="CP25" s="24"/>
      <c r="CQ25" s="24"/>
      <c r="CR25" s="24"/>
      <c r="CS25" s="24"/>
      <c r="CT25" s="24"/>
      <c r="CU25" s="24"/>
      <c r="CV25" s="24"/>
    </row>
    <row r="26" spans="1:100" s="3" customFormat="1" ht="30" customHeight="1" thickBot="1" x14ac:dyDescent="0.3">
      <c r="A26" s="66" t="s">
        <v>106</v>
      </c>
      <c r="B26" s="70" t="s">
        <v>102</v>
      </c>
      <c r="C26" s="44" t="s">
        <v>75</v>
      </c>
      <c r="D26" s="39" t="s">
        <v>110</v>
      </c>
      <c r="E26" s="19">
        <v>1</v>
      </c>
      <c r="F26" s="55">
        <v>45937</v>
      </c>
      <c r="G26" s="55">
        <v>45937</v>
      </c>
      <c r="H26" s="10"/>
      <c r="I26" s="10"/>
      <c r="J26" s="24"/>
      <c r="K26" s="24"/>
      <c r="L26" s="24"/>
      <c r="M26" s="24"/>
      <c r="N26" s="24"/>
      <c r="O26" s="24"/>
      <c r="P26" s="24"/>
      <c r="Q26" s="24"/>
      <c r="R26" s="24"/>
      <c r="S26" s="24"/>
      <c r="T26" s="24"/>
      <c r="U26" s="24"/>
      <c r="V26" s="24"/>
      <c r="W26" s="24"/>
      <c r="X26" s="24"/>
      <c r="Y26" s="24"/>
      <c r="Z26" s="24"/>
      <c r="AA26" s="24"/>
      <c r="AB26" s="24"/>
      <c r="AC26" s="24"/>
      <c r="AD26" s="24"/>
      <c r="AE26" s="24"/>
      <c r="AF26" s="24"/>
      <c r="AG26" s="24"/>
      <c r="AH26" s="24"/>
      <c r="AI26" s="24"/>
      <c r="AJ26" s="24"/>
      <c r="AK26" s="24"/>
      <c r="AL26" s="24"/>
      <c r="AM26" s="24"/>
      <c r="AN26" s="24"/>
      <c r="AO26" s="24"/>
      <c r="AP26" s="24"/>
      <c r="AQ26" s="24"/>
      <c r="AR26" s="24"/>
      <c r="AS26" s="24"/>
      <c r="AT26" s="24"/>
      <c r="AU26" s="24"/>
      <c r="AV26" s="24"/>
      <c r="AW26" s="24"/>
      <c r="AX26" s="24"/>
      <c r="AY26" s="24"/>
      <c r="AZ26" s="24"/>
      <c r="BA26" s="24"/>
      <c r="BB26" s="24"/>
      <c r="BC26" s="24"/>
      <c r="BD26" s="24"/>
      <c r="BE26" s="24"/>
      <c r="BF26" s="24"/>
      <c r="BG26" s="24"/>
      <c r="BH26" s="24"/>
      <c r="BI26" s="24"/>
      <c r="BJ26" s="24"/>
      <c r="BK26" s="24"/>
      <c r="BL26" s="24"/>
      <c r="BM26" s="24"/>
      <c r="BN26" s="24"/>
      <c r="BO26" s="24"/>
      <c r="BP26" s="24"/>
      <c r="BQ26" s="24"/>
      <c r="BR26" s="24"/>
      <c r="BS26" s="24"/>
      <c r="BT26" s="24"/>
      <c r="BU26" s="24"/>
      <c r="BV26" s="24"/>
      <c r="BW26" s="24"/>
      <c r="BX26" s="24"/>
      <c r="BY26" s="24"/>
      <c r="BZ26" s="24"/>
      <c r="CA26" s="24"/>
      <c r="CB26" s="24"/>
      <c r="CC26" s="24"/>
      <c r="CD26" s="24"/>
      <c r="CE26" s="24"/>
      <c r="CF26" s="24"/>
      <c r="CG26" s="24"/>
      <c r="CH26" s="24"/>
      <c r="CI26" s="24"/>
      <c r="CJ26" s="24"/>
      <c r="CK26" s="24"/>
      <c r="CL26" s="24"/>
      <c r="CM26" s="24"/>
      <c r="CN26" s="24"/>
      <c r="CO26" s="24"/>
      <c r="CP26" s="24"/>
      <c r="CQ26" s="24"/>
      <c r="CR26" s="24"/>
      <c r="CS26" s="24"/>
      <c r="CT26" s="24"/>
      <c r="CU26" s="24"/>
      <c r="CV26" s="24"/>
    </row>
    <row r="27" spans="1:100" s="3" customFormat="1" ht="30" customHeight="1" thickBot="1" x14ac:dyDescent="0.3">
      <c r="A27" s="66" t="s">
        <v>112</v>
      </c>
      <c r="B27" s="70" t="s">
        <v>104</v>
      </c>
      <c r="C27" s="44" t="s">
        <v>75</v>
      </c>
      <c r="D27" s="39" t="s">
        <v>31</v>
      </c>
      <c r="E27" s="19">
        <v>1</v>
      </c>
      <c r="F27" s="55">
        <v>45936</v>
      </c>
      <c r="G27" s="55">
        <v>45939</v>
      </c>
      <c r="H27" s="10"/>
      <c r="I27" s="10"/>
      <c r="J27" s="24"/>
      <c r="K27" s="24"/>
      <c r="L27" s="24"/>
      <c r="M27" s="24"/>
      <c r="N27" s="24"/>
      <c r="O27" s="24"/>
      <c r="P27" s="24"/>
      <c r="Q27" s="24"/>
      <c r="R27" s="24"/>
      <c r="S27" s="24"/>
      <c r="T27" s="24"/>
      <c r="U27" s="24"/>
      <c r="V27" s="24"/>
      <c r="W27" s="24"/>
      <c r="X27" s="24"/>
      <c r="Y27" s="24"/>
      <c r="Z27" s="24"/>
      <c r="AA27" s="24"/>
      <c r="AB27" s="24"/>
      <c r="AC27" s="24"/>
      <c r="AD27" s="24"/>
      <c r="AE27" s="24"/>
      <c r="AF27" s="24"/>
      <c r="AG27" s="24"/>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c r="BM27" s="24"/>
      <c r="BN27" s="24"/>
      <c r="BO27" s="24"/>
      <c r="BP27" s="24"/>
      <c r="BQ27" s="24"/>
      <c r="BR27" s="24"/>
      <c r="BS27" s="24"/>
      <c r="BT27" s="24"/>
      <c r="BU27" s="24"/>
      <c r="BV27" s="24"/>
      <c r="BW27" s="24"/>
      <c r="BX27" s="24"/>
      <c r="BY27" s="24"/>
      <c r="BZ27" s="24"/>
      <c r="CA27" s="24"/>
      <c r="CB27" s="24"/>
      <c r="CC27" s="24"/>
      <c r="CD27" s="24"/>
      <c r="CE27" s="24"/>
      <c r="CF27" s="24"/>
      <c r="CG27" s="24"/>
      <c r="CH27" s="24"/>
      <c r="CI27" s="24"/>
      <c r="CJ27" s="24"/>
      <c r="CK27" s="24"/>
      <c r="CL27" s="24"/>
      <c r="CM27" s="24"/>
      <c r="CN27" s="24"/>
      <c r="CO27" s="24"/>
      <c r="CP27" s="24"/>
      <c r="CQ27" s="24"/>
      <c r="CR27" s="24"/>
      <c r="CS27" s="24"/>
      <c r="CT27" s="24"/>
      <c r="CU27" s="24"/>
      <c r="CV27" s="24"/>
    </row>
    <row r="28" spans="1:100" s="3" customFormat="1" ht="30" customHeight="1" thickBot="1" x14ac:dyDescent="0.3">
      <c r="A28" s="66" t="s">
        <v>121</v>
      </c>
      <c r="B28" s="70" t="s">
        <v>122</v>
      </c>
      <c r="C28" s="44" t="s">
        <v>75</v>
      </c>
      <c r="D28" s="39" t="s">
        <v>31</v>
      </c>
      <c r="E28" s="19">
        <v>1</v>
      </c>
      <c r="F28" s="55">
        <v>45936</v>
      </c>
      <c r="G28" s="55">
        <v>45939</v>
      </c>
      <c r="H28" s="10"/>
      <c r="I28" s="10"/>
      <c r="J28" s="24"/>
      <c r="K28" s="24"/>
      <c r="L28" s="24"/>
      <c r="M28" s="24"/>
      <c r="N28" s="24"/>
      <c r="O28" s="24"/>
      <c r="P28" s="24"/>
      <c r="Q28" s="24"/>
      <c r="R28" s="24"/>
      <c r="S28" s="24"/>
      <c r="T28" s="24"/>
      <c r="U28" s="24"/>
      <c r="V28" s="24"/>
      <c r="W28" s="24"/>
      <c r="X28" s="24"/>
      <c r="Y28" s="24"/>
      <c r="Z28" s="24"/>
      <c r="AA28" s="24"/>
      <c r="AB28" s="24"/>
      <c r="AC28" s="24"/>
      <c r="AD28" s="24"/>
      <c r="AE28" s="24"/>
      <c r="AF28" s="24"/>
      <c r="AG28" s="24"/>
      <c r="AH28" s="24"/>
      <c r="AI28" s="24"/>
      <c r="AJ28" s="24"/>
      <c r="AK28" s="24"/>
      <c r="AL28" s="24"/>
      <c r="AM28" s="24"/>
      <c r="AN28" s="24"/>
      <c r="AO28" s="24"/>
      <c r="AP28" s="24"/>
      <c r="AQ28" s="24"/>
      <c r="AR28" s="24"/>
      <c r="AS28" s="24"/>
      <c r="AT28" s="24"/>
      <c r="AU28" s="24"/>
      <c r="AV28" s="24"/>
      <c r="AW28" s="24"/>
      <c r="AX28" s="24"/>
      <c r="AY28" s="24"/>
      <c r="AZ28" s="24"/>
      <c r="BA28" s="24"/>
      <c r="BB28" s="24"/>
      <c r="BC28" s="24"/>
      <c r="BD28" s="24"/>
      <c r="BE28" s="24"/>
      <c r="BF28" s="24"/>
      <c r="BG28" s="24"/>
      <c r="BH28" s="24"/>
      <c r="BI28" s="24"/>
      <c r="BJ28" s="24"/>
      <c r="BK28" s="24"/>
      <c r="BL28" s="24"/>
      <c r="BM28" s="24"/>
      <c r="BN28" s="24"/>
      <c r="BO28" s="24"/>
      <c r="BP28" s="24"/>
      <c r="BQ28" s="24"/>
      <c r="BR28" s="24"/>
      <c r="BS28" s="24"/>
      <c r="BT28" s="24"/>
      <c r="BU28" s="24"/>
      <c r="BV28" s="24"/>
      <c r="BW28" s="24"/>
      <c r="BX28" s="24"/>
      <c r="BY28" s="24"/>
      <c r="BZ28" s="24"/>
      <c r="CA28" s="24"/>
      <c r="CB28" s="24"/>
      <c r="CC28" s="24"/>
      <c r="CD28" s="24"/>
      <c r="CE28" s="24"/>
      <c r="CF28" s="24"/>
      <c r="CG28" s="24"/>
      <c r="CH28" s="24"/>
      <c r="CI28" s="24"/>
      <c r="CJ28" s="24"/>
      <c r="CK28" s="24"/>
      <c r="CL28" s="24"/>
      <c r="CM28" s="24"/>
      <c r="CN28" s="24"/>
      <c r="CO28" s="24"/>
      <c r="CP28" s="24"/>
      <c r="CQ28" s="24"/>
      <c r="CR28" s="24"/>
      <c r="CS28" s="24"/>
      <c r="CT28" s="24"/>
      <c r="CU28" s="24"/>
      <c r="CV28" s="24"/>
    </row>
    <row r="29" spans="1:100" s="3" customFormat="1" ht="30" customHeight="1" thickBot="1" x14ac:dyDescent="0.3">
      <c r="A29" s="66"/>
      <c r="B29" s="71" t="s">
        <v>24</v>
      </c>
      <c r="C29" s="20"/>
      <c r="D29" s="40"/>
      <c r="E29" s="21"/>
      <c r="F29" s="56"/>
      <c r="G29" s="57"/>
      <c r="H29" s="10"/>
      <c r="I29" s="10" t="str">
        <f t="shared" si="46"/>
        <v/>
      </c>
      <c r="J29" s="24"/>
      <c r="K29" s="24"/>
      <c r="L29" s="24"/>
      <c r="M29" s="24"/>
      <c r="N29" s="24"/>
      <c r="O29" s="24"/>
      <c r="P29" s="24"/>
      <c r="Q29" s="24"/>
      <c r="R29" s="24"/>
      <c r="S29" s="24"/>
      <c r="T29" s="24"/>
      <c r="U29" s="24"/>
      <c r="V29" s="24"/>
      <c r="W29" s="24"/>
      <c r="X29" s="24"/>
      <c r="Y29" s="24"/>
      <c r="Z29" s="24"/>
      <c r="AA29" s="24"/>
      <c r="AB29" s="24"/>
      <c r="AC29" s="24"/>
      <c r="AD29" s="24"/>
      <c r="AE29" s="24"/>
      <c r="AF29" s="24"/>
      <c r="AG29" s="24"/>
      <c r="AH29" s="24"/>
      <c r="AI29" s="24"/>
      <c r="AJ29" s="24"/>
      <c r="AK29" s="24"/>
      <c r="AL29" s="24"/>
      <c r="AM29" s="24"/>
      <c r="AN29" s="24"/>
      <c r="AO29" s="24"/>
      <c r="AP29" s="24"/>
      <c r="AQ29" s="24"/>
      <c r="AR29" s="24"/>
      <c r="AS29" s="24"/>
      <c r="AT29" s="24"/>
      <c r="AU29" s="24"/>
      <c r="AV29" s="24"/>
      <c r="AW29" s="24"/>
      <c r="AX29" s="24"/>
      <c r="AY29" s="24"/>
      <c r="AZ29" s="24"/>
      <c r="BA29" s="24"/>
      <c r="BB29" s="24"/>
      <c r="BC29" s="24"/>
      <c r="BD29" s="24"/>
      <c r="BE29" s="24"/>
      <c r="BF29" s="24"/>
      <c r="BG29" s="24"/>
      <c r="BH29" s="24"/>
      <c r="BI29" s="24"/>
      <c r="BJ29" s="24"/>
      <c r="BK29" s="24"/>
      <c r="BL29" s="24"/>
      <c r="BM29" s="24"/>
      <c r="BN29" s="24"/>
      <c r="BO29" s="24"/>
      <c r="BP29" s="24"/>
      <c r="BQ29" s="24"/>
      <c r="BR29" s="24"/>
      <c r="BS29" s="24"/>
      <c r="BT29" s="24"/>
      <c r="BU29" s="24"/>
      <c r="BV29" s="24"/>
      <c r="BW29" s="24"/>
      <c r="BX29" s="24"/>
      <c r="BY29" s="24"/>
      <c r="BZ29" s="24"/>
      <c r="CA29" s="24"/>
      <c r="CB29" s="24"/>
      <c r="CC29" s="24"/>
      <c r="CD29" s="24"/>
      <c r="CE29" s="24"/>
      <c r="CF29" s="24"/>
      <c r="CG29" s="24"/>
      <c r="CH29" s="24"/>
      <c r="CI29" s="24"/>
      <c r="CJ29" s="24"/>
      <c r="CK29" s="24"/>
      <c r="CL29" s="24"/>
      <c r="CM29" s="24"/>
      <c r="CN29" s="24"/>
      <c r="CO29" s="24"/>
      <c r="CP29" s="24"/>
      <c r="CQ29" s="24"/>
      <c r="CR29" s="24"/>
      <c r="CS29" s="24"/>
      <c r="CT29" s="24"/>
      <c r="CU29" s="24"/>
      <c r="CV29" s="24"/>
    </row>
    <row r="30" spans="1:100" s="3" customFormat="1" ht="30" customHeight="1" thickBot="1" x14ac:dyDescent="0.3">
      <c r="A30" s="66" t="s">
        <v>56</v>
      </c>
      <c r="B30" s="72" t="s">
        <v>25</v>
      </c>
      <c r="C30" s="45" t="s">
        <v>75</v>
      </c>
      <c r="D30" s="41" t="s">
        <v>31</v>
      </c>
      <c r="E30" s="22">
        <v>1</v>
      </c>
      <c r="F30" s="63">
        <v>45940</v>
      </c>
      <c r="G30" s="63">
        <v>45946</v>
      </c>
      <c r="H30" s="10"/>
      <c r="I30" s="10">
        <f t="shared" si="46"/>
        <v>7</v>
      </c>
      <c r="J30" s="24"/>
      <c r="K30" s="24"/>
      <c r="L30" s="24"/>
      <c r="M30" s="24"/>
      <c r="N30" s="24"/>
      <c r="O30" s="24"/>
      <c r="P30" s="24"/>
      <c r="Q30" s="24"/>
      <c r="R30" s="24"/>
      <c r="S30" s="24"/>
      <c r="T30" s="24"/>
      <c r="U30" s="24"/>
      <c r="V30" s="24"/>
      <c r="W30" s="24"/>
      <c r="X30" s="24"/>
      <c r="Y30" s="24"/>
      <c r="Z30" s="24"/>
      <c r="AA30" s="24"/>
      <c r="AB30" s="24"/>
      <c r="AC30" s="24"/>
      <c r="AD30" s="24"/>
      <c r="AE30" s="24"/>
      <c r="AF30" s="24"/>
      <c r="AG30" s="24"/>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c r="BH30" s="24"/>
      <c r="BI30" s="24"/>
      <c r="BJ30" s="24"/>
      <c r="BK30" s="24"/>
      <c r="BL30" s="24"/>
      <c r="BM30" s="24"/>
      <c r="BN30" s="24"/>
      <c r="BO30" s="24"/>
      <c r="BP30" s="24"/>
      <c r="BQ30" s="24"/>
      <c r="BR30" s="24"/>
      <c r="BS30" s="24"/>
      <c r="BT30" s="24"/>
      <c r="BU30" s="24"/>
      <c r="BV30" s="24"/>
      <c r="BW30" s="24"/>
      <c r="BX30" s="24"/>
      <c r="BY30" s="24"/>
      <c r="BZ30" s="24"/>
      <c r="CA30" s="24"/>
      <c r="CB30" s="24"/>
      <c r="CC30" s="24"/>
      <c r="CD30" s="24"/>
      <c r="CE30" s="24"/>
      <c r="CF30" s="24"/>
      <c r="CG30" s="24"/>
      <c r="CH30" s="24"/>
      <c r="CI30" s="24"/>
      <c r="CJ30" s="24"/>
      <c r="CK30" s="24"/>
      <c r="CL30" s="24"/>
      <c r="CM30" s="24"/>
      <c r="CN30" s="24"/>
      <c r="CO30" s="24"/>
      <c r="CP30" s="24"/>
      <c r="CQ30" s="24"/>
      <c r="CR30" s="24"/>
      <c r="CS30" s="24"/>
      <c r="CT30" s="24"/>
      <c r="CU30" s="24"/>
      <c r="CV30" s="24"/>
    </row>
    <row r="31" spans="1:100" s="3" customFormat="1" ht="30" customHeight="1" thickBot="1" x14ac:dyDescent="0.3">
      <c r="A31" s="66" t="s">
        <v>57</v>
      </c>
      <c r="B31" s="72" t="s">
        <v>146</v>
      </c>
      <c r="C31" s="45" t="s">
        <v>75</v>
      </c>
      <c r="D31" s="41" t="s">
        <v>31</v>
      </c>
      <c r="E31" s="22">
        <v>1</v>
      </c>
      <c r="F31" s="63">
        <v>45946</v>
      </c>
      <c r="G31" s="63">
        <v>45958</v>
      </c>
      <c r="H31" s="10"/>
      <c r="I31" s="10"/>
      <c r="J31" s="24"/>
      <c r="K31" s="24"/>
      <c r="L31" s="24"/>
      <c r="M31" s="24"/>
      <c r="N31" s="24"/>
      <c r="O31" s="24"/>
      <c r="P31" s="24"/>
      <c r="Q31" s="24"/>
      <c r="R31" s="24"/>
      <c r="S31" s="24"/>
      <c r="T31" s="24"/>
      <c r="U31" s="24"/>
      <c r="V31" s="24"/>
      <c r="W31" s="24"/>
      <c r="X31" s="24"/>
      <c r="Y31" s="24"/>
      <c r="Z31" s="24"/>
      <c r="AA31" s="24"/>
      <c r="AB31" s="24"/>
      <c r="AC31" s="24"/>
      <c r="AD31" s="24"/>
      <c r="AE31" s="24"/>
      <c r="AF31" s="24"/>
      <c r="AG31" s="24"/>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c r="BI31" s="24"/>
      <c r="BJ31" s="24"/>
      <c r="BK31" s="24"/>
      <c r="BL31" s="24"/>
      <c r="BM31" s="24"/>
      <c r="BN31" s="24"/>
      <c r="BO31" s="24"/>
      <c r="BP31" s="24"/>
      <c r="BQ31" s="24"/>
      <c r="BR31" s="24"/>
      <c r="BS31" s="24"/>
      <c r="BT31" s="24"/>
      <c r="BU31" s="24"/>
      <c r="BV31" s="24"/>
      <c r="BW31" s="24"/>
      <c r="BX31" s="24"/>
      <c r="BY31" s="24"/>
      <c r="BZ31" s="24"/>
      <c r="CA31" s="24"/>
      <c r="CB31" s="24"/>
      <c r="CC31" s="24"/>
      <c r="CD31" s="24"/>
      <c r="CE31" s="24"/>
      <c r="CF31" s="24"/>
      <c r="CG31" s="24"/>
      <c r="CH31" s="24"/>
      <c r="CI31" s="24"/>
      <c r="CJ31" s="24"/>
      <c r="CK31" s="24"/>
      <c r="CL31" s="24"/>
      <c r="CM31" s="24"/>
      <c r="CN31" s="24"/>
      <c r="CO31" s="24"/>
      <c r="CP31" s="24"/>
      <c r="CQ31" s="24"/>
      <c r="CR31" s="24"/>
      <c r="CS31" s="24"/>
      <c r="CT31" s="24"/>
      <c r="CU31" s="24"/>
      <c r="CV31" s="24"/>
    </row>
    <row r="32" spans="1:100" s="3" customFormat="1" ht="30" customHeight="1" thickBot="1" x14ac:dyDescent="0.3">
      <c r="A32" s="66" t="s">
        <v>131</v>
      </c>
      <c r="B32" s="72" t="s">
        <v>130</v>
      </c>
      <c r="C32" s="45" t="s">
        <v>75</v>
      </c>
      <c r="D32" s="41" t="s">
        <v>31</v>
      </c>
      <c r="E32" s="22">
        <v>1</v>
      </c>
      <c r="F32" s="63">
        <v>45948</v>
      </c>
      <c r="G32" s="63">
        <v>45950</v>
      </c>
      <c r="H32" s="10"/>
      <c r="I32" s="10"/>
      <c r="J32" s="24"/>
      <c r="K32" s="24"/>
      <c r="L32" s="24"/>
      <c r="M32" s="24"/>
      <c r="N32" s="24"/>
      <c r="O32" s="24"/>
      <c r="P32" s="24"/>
      <c r="Q32" s="24"/>
      <c r="R32" s="24"/>
      <c r="S32" s="24"/>
      <c r="T32" s="24"/>
      <c r="U32" s="24"/>
      <c r="V32" s="24"/>
      <c r="W32" s="24"/>
      <c r="X32" s="24"/>
      <c r="Y32" s="24"/>
      <c r="Z32" s="24"/>
      <c r="AA32" s="24"/>
      <c r="AB32" s="24"/>
      <c r="AC32" s="24"/>
      <c r="AD32" s="24"/>
      <c r="AE32" s="24"/>
      <c r="AF32" s="24"/>
      <c r="AG32" s="24"/>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c r="BH32" s="24"/>
      <c r="BI32" s="24"/>
      <c r="BJ32" s="24"/>
      <c r="BK32" s="24"/>
      <c r="BL32" s="24"/>
      <c r="BM32" s="24"/>
      <c r="BN32" s="24"/>
      <c r="BO32" s="24"/>
      <c r="BP32" s="24"/>
      <c r="BQ32" s="24"/>
      <c r="BR32" s="24"/>
      <c r="BS32" s="24"/>
      <c r="BT32" s="24"/>
      <c r="BU32" s="24"/>
      <c r="BV32" s="24"/>
      <c r="BW32" s="24"/>
      <c r="BX32" s="24"/>
      <c r="BY32" s="24"/>
      <c r="BZ32" s="24"/>
      <c r="CA32" s="24"/>
      <c r="CB32" s="24"/>
      <c r="CC32" s="24"/>
      <c r="CD32" s="24"/>
      <c r="CE32" s="24"/>
      <c r="CF32" s="24"/>
      <c r="CG32" s="24"/>
      <c r="CH32" s="24"/>
      <c r="CI32" s="24"/>
      <c r="CJ32" s="24"/>
      <c r="CK32" s="24"/>
      <c r="CL32" s="24"/>
      <c r="CM32" s="24"/>
      <c r="CN32" s="24"/>
      <c r="CO32" s="24"/>
      <c r="CP32" s="24"/>
      <c r="CQ32" s="24"/>
      <c r="CR32" s="24"/>
      <c r="CS32" s="24"/>
      <c r="CT32" s="24"/>
      <c r="CU32" s="24"/>
      <c r="CV32" s="24"/>
    </row>
    <row r="33" spans="1:100" s="3" customFormat="1" ht="30" customHeight="1" thickBot="1" x14ac:dyDescent="0.3">
      <c r="A33" s="66" t="s">
        <v>132</v>
      </c>
      <c r="B33" s="72" t="s">
        <v>129</v>
      </c>
      <c r="C33" s="45" t="s">
        <v>75</v>
      </c>
      <c r="D33" s="41" t="s">
        <v>31</v>
      </c>
      <c r="E33" s="22">
        <v>1</v>
      </c>
      <c r="F33" s="63">
        <v>45950</v>
      </c>
      <c r="G33" s="63">
        <v>45951</v>
      </c>
      <c r="H33" s="10"/>
      <c r="I33" s="10"/>
      <c r="J33" s="24"/>
      <c r="K33" s="24"/>
      <c r="L33" s="24"/>
      <c r="M33" s="24"/>
      <c r="N33" s="24"/>
      <c r="O33" s="24"/>
      <c r="P33" s="24"/>
      <c r="Q33" s="24"/>
      <c r="R33" s="24"/>
      <c r="S33" s="24"/>
      <c r="T33" s="24"/>
      <c r="U33" s="24"/>
      <c r="V33" s="24"/>
      <c r="W33" s="24"/>
      <c r="X33" s="24"/>
      <c r="Y33" s="24"/>
      <c r="Z33" s="24"/>
      <c r="AA33" s="24"/>
      <c r="AB33" s="24"/>
      <c r="AC33" s="24"/>
      <c r="AD33" s="24"/>
      <c r="AE33" s="24"/>
      <c r="AF33" s="24"/>
      <c r="AG33" s="24"/>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c r="BH33" s="24"/>
      <c r="BI33" s="24"/>
      <c r="BJ33" s="24"/>
      <c r="BK33" s="24"/>
      <c r="BL33" s="24"/>
      <c r="BM33" s="24"/>
      <c r="BN33" s="24"/>
      <c r="BO33" s="24"/>
      <c r="BP33" s="24"/>
      <c r="BQ33" s="24"/>
      <c r="BR33" s="24"/>
      <c r="BS33" s="24"/>
      <c r="BT33" s="24"/>
      <c r="BU33" s="24"/>
      <c r="BV33" s="24"/>
      <c r="BW33" s="24"/>
      <c r="BX33" s="24"/>
      <c r="BY33" s="24"/>
      <c r="BZ33" s="24"/>
      <c r="CA33" s="24"/>
      <c r="CB33" s="24"/>
      <c r="CC33" s="24"/>
      <c r="CD33" s="24"/>
      <c r="CE33" s="24"/>
      <c r="CF33" s="24"/>
      <c r="CG33" s="24"/>
      <c r="CH33" s="24"/>
      <c r="CI33" s="24"/>
      <c r="CJ33" s="24"/>
      <c r="CK33" s="24"/>
      <c r="CL33" s="24"/>
      <c r="CM33" s="24"/>
      <c r="CN33" s="24"/>
      <c r="CO33" s="24"/>
      <c r="CP33" s="24"/>
      <c r="CQ33" s="24"/>
      <c r="CR33" s="24"/>
      <c r="CS33" s="24"/>
      <c r="CT33" s="24"/>
      <c r="CU33" s="24"/>
      <c r="CV33" s="24"/>
    </row>
    <row r="34" spans="1:100" s="3" customFormat="1" ht="30" customHeight="1" thickBot="1" x14ac:dyDescent="0.3">
      <c r="A34" s="66" t="s">
        <v>133</v>
      </c>
      <c r="B34" s="72" t="s">
        <v>127</v>
      </c>
      <c r="C34" s="45" t="s">
        <v>75</v>
      </c>
      <c r="D34" s="41" t="s">
        <v>31</v>
      </c>
      <c r="E34" s="22">
        <v>1</v>
      </c>
      <c r="F34" s="63">
        <v>45950</v>
      </c>
      <c r="G34" s="63">
        <v>45952</v>
      </c>
      <c r="H34" s="10"/>
      <c r="I34" s="10"/>
      <c r="J34" s="24"/>
      <c r="K34" s="24"/>
      <c r="L34" s="24"/>
      <c r="M34" s="24"/>
      <c r="N34" s="24"/>
      <c r="O34" s="24"/>
      <c r="P34" s="24"/>
      <c r="Q34" s="24"/>
      <c r="R34" s="24"/>
      <c r="S34" s="24"/>
      <c r="T34" s="24"/>
      <c r="U34" s="24"/>
      <c r="V34" s="24"/>
      <c r="W34" s="24"/>
      <c r="X34" s="24"/>
      <c r="Y34" s="24"/>
      <c r="Z34" s="24"/>
      <c r="AA34" s="24"/>
      <c r="AB34" s="24"/>
      <c r="AC34" s="24"/>
      <c r="AD34" s="24"/>
      <c r="AE34" s="24"/>
      <c r="AF34" s="24"/>
      <c r="AG34" s="24"/>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c r="BK34" s="24"/>
      <c r="BL34" s="24"/>
      <c r="BM34" s="24"/>
      <c r="BN34" s="24"/>
      <c r="BO34" s="24"/>
      <c r="BP34" s="24"/>
      <c r="BQ34" s="24"/>
      <c r="BR34" s="24"/>
      <c r="BS34" s="24"/>
      <c r="BT34" s="24"/>
      <c r="BU34" s="24"/>
      <c r="BV34" s="24"/>
      <c r="BW34" s="24"/>
      <c r="BX34" s="24"/>
      <c r="BY34" s="24"/>
      <c r="BZ34" s="24"/>
      <c r="CA34" s="24"/>
      <c r="CB34" s="24"/>
      <c r="CC34" s="24"/>
      <c r="CD34" s="24"/>
      <c r="CE34" s="24"/>
      <c r="CF34" s="24"/>
      <c r="CG34" s="24"/>
      <c r="CH34" s="24"/>
      <c r="CI34" s="24"/>
      <c r="CJ34" s="24"/>
      <c r="CK34" s="24"/>
      <c r="CL34" s="24"/>
      <c r="CM34" s="24"/>
      <c r="CN34" s="24"/>
      <c r="CO34" s="24"/>
      <c r="CP34" s="24"/>
      <c r="CQ34" s="24"/>
      <c r="CR34" s="24"/>
      <c r="CS34" s="24"/>
      <c r="CT34" s="24"/>
      <c r="CU34" s="24"/>
      <c r="CV34" s="24"/>
    </row>
    <row r="35" spans="1:100" s="3" customFormat="1" ht="30" customHeight="1" thickBot="1" x14ac:dyDescent="0.3">
      <c r="A35" s="66" t="s">
        <v>134</v>
      </c>
      <c r="B35" s="72" t="s">
        <v>138</v>
      </c>
      <c r="C35" s="45" t="s">
        <v>75</v>
      </c>
      <c r="D35" s="41" t="s">
        <v>31</v>
      </c>
      <c r="E35" s="22">
        <v>1</v>
      </c>
      <c r="F35" s="63">
        <v>45950</v>
      </c>
      <c r="G35" s="63">
        <v>45953</v>
      </c>
      <c r="H35" s="10"/>
      <c r="I35" s="10"/>
      <c r="J35" s="24"/>
      <c r="K35" s="24"/>
      <c r="L35" s="24"/>
      <c r="M35" s="24"/>
      <c r="N35" s="24"/>
      <c r="O35" s="24"/>
      <c r="P35" s="24"/>
      <c r="Q35" s="24"/>
      <c r="R35" s="24"/>
      <c r="S35" s="24"/>
      <c r="T35" s="24"/>
      <c r="U35" s="24"/>
      <c r="V35" s="24"/>
      <c r="W35" s="24"/>
      <c r="X35" s="24"/>
      <c r="Y35" s="24"/>
      <c r="Z35" s="24"/>
      <c r="AA35" s="24"/>
      <c r="AB35" s="24"/>
      <c r="AC35" s="24"/>
      <c r="AD35" s="24"/>
      <c r="AE35" s="24"/>
      <c r="AF35" s="24"/>
      <c r="AG35" s="24"/>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c r="BH35" s="24"/>
      <c r="BI35" s="24"/>
      <c r="BJ35" s="24"/>
      <c r="BK35" s="24"/>
      <c r="BL35" s="24"/>
      <c r="BM35" s="24"/>
      <c r="BN35" s="24"/>
      <c r="BO35" s="24"/>
      <c r="BP35" s="24"/>
      <c r="BQ35" s="24"/>
      <c r="BR35" s="24"/>
      <c r="BS35" s="24"/>
      <c r="BT35" s="24"/>
      <c r="BU35" s="24"/>
      <c r="BV35" s="24"/>
      <c r="BW35" s="24"/>
      <c r="BX35" s="24"/>
      <c r="BY35" s="24"/>
      <c r="BZ35" s="24"/>
      <c r="CA35" s="24"/>
      <c r="CB35" s="24"/>
      <c r="CC35" s="24"/>
      <c r="CD35" s="24"/>
      <c r="CE35" s="24"/>
      <c r="CF35" s="24"/>
      <c r="CG35" s="24"/>
      <c r="CH35" s="24"/>
      <c r="CI35" s="24"/>
      <c r="CJ35" s="24"/>
      <c r="CK35" s="24"/>
      <c r="CL35" s="24"/>
      <c r="CM35" s="24"/>
      <c r="CN35" s="24"/>
      <c r="CO35" s="24"/>
      <c r="CP35" s="24"/>
      <c r="CQ35" s="24"/>
      <c r="CR35" s="24"/>
      <c r="CS35" s="24"/>
      <c r="CT35" s="24"/>
      <c r="CU35" s="24"/>
      <c r="CV35" s="24"/>
    </row>
    <row r="36" spans="1:100" s="3" customFormat="1" ht="30" customHeight="1" thickBot="1" x14ac:dyDescent="0.3">
      <c r="A36" s="66" t="s">
        <v>135</v>
      </c>
      <c r="B36" s="72" t="s">
        <v>128</v>
      </c>
      <c r="C36" s="45" t="s">
        <v>75</v>
      </c>
      <c r="D36" s="41" t="s">
        <v>31</v>
      </c>
      <c r="E36" s="22">
        <v>1</v>
      </c>
      <c r="F36" s="63">
        <v>45950</v>
      </c>
      <c r="G36" s="63">
        <v>45954</v>
      </c>
      <c r="H36" s="10"/>
      <c r="I36" s="10"/>
      <c r="J36" s="24"/>
      <c r="K36" s="24"/>
      <c r="L36" s="24"/>
      <c r="M36" s="24"/>
      <c r="N36" s="24"/>
      <c r="O36" s="24"/>
      <c r="P36" s="24"/>
      <c r="Q36" s="24"/>
      <c r="R36" s="24"/>
      <c r="S36" s="24"/>
      <c r="T36" s="24"/>
      <c r="U36" s="24"/>
      <c r="V36" s="24"/>
      <c r="W36" s="24"/>
      <c r="X36" s="24"/>
      <c r="Y36" s="24"/>
      <c r="Z36" s="24"/>
      <c r="AA36" s="24"/>
      <c r="AB36" s="24"/>
      <c r="AC36" s="24"/>
      <c r="AD36" s="24"/>
      <c r="AE36" s="24"/>
      <c r="AF36" s="24"/>
      <c r="AG36" s="24"/>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c r="BK36" s="24"/>
      <c r="BL36" s="24"/>
      <c r="BM36" s="24"/>
      <c r="BN36" s="24"/>
      <c r="BO36" s="24"/>
      <c r="BP36" s="24"/>
      <c r="BQ36" s="24"/>
      <c r="BR36" s="24"/>
      <c r="BS36" s="24"/>
      <c r="BT36" s="24"/>
      <c r="BU36" s="24"/>
      <c r="BV36" s="24"/>
      <c r="BW36" s="24"/>
      <c r="BX36" s="24"/>
      <c r="BY36" s="24"/>
      <c r="BZ36" s="24"/>
      <c r="CA36" s="24"/>
      <c r="CB36" s="24"/>
      <c r="CC36" s="24"/>
      <c r="CD36" s="24"/>
      <c r="CE36" s="24"/>
      <c r="CF36" s="24"/>
      <c r="CG36" s="24"/>
      <c r="CH36" s="24"/>
      <c r="CI36" s="24"/>
      <c r="CJ36" s="24"/>
      <c r="CK36" s="24"/>
      <c r="CL36" s="24"/>
      <c r="CM36" s="24"/>
      <c r="CN36" s="24"/>
      <c r="CO36" s="24"/>
      <c r="CP36" s="24"/>
      <c r="CQ36" s="24"/>
      <c r="CR36" s="24"/>
      <c r="CS36" s="24"/>
      <c r="CT36" s="24"/>
      <c r="CU36" s="24"/>
      <c r="CV36" s="24"/>
    </row>
    <row r="37" spans="1:100" s="3" customFormat="1" ht="30" customHeight="1" thickBot="1" x14ac:dyDescent="0.3">
      <c r="A37" s="66" t="s">
        <v>137</v>
      </c>
      <c r="B37" s="72" t="s">
        <v>136</v>
      </c>
      <c r="C37" s="45" t="s">
        <v>75</v>
      </c>
      <c r="D37" s="41" t="s">
        <v>31</v>
      </c>
      <c r="E37" s="22">
        <v>1</v>
      </c>
      <c r="F37" s="63">
        <v>45955</v>
      </c>
      <c r="G37" s="63">
        <v>45958</v>
      </c>
      <c r="H37" s="10"/>
      <c r="I37" s="10"/>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c r="BK37" s="24"/>
      <c r="BL37" s="24"/>
      <c r="BM37" s="24"/>
      <c r="BN37" s="24"/>
      <c r="BO37" s="24"/>
      <c r="BP37" s="24"/>
      <c r="BQ37" s="24"/>
      <c r="BR37" s="24"/>
      <c r="BS37" s="24"/>
      <c r="BT37" s="24"/>
      <c r="BU37" s="24"/>
      <c r="BV37" s="24"/>
      <c r="BW37" s="24"/>
      <c r="BX37" s="24"/>
      <c r="BY37" s="24"/>
      <c r="BZ37" s="24"/>
      <c r="CA37" s="24"/>
      <c r="CB37" s="24"/>
      <c r="CC37" s="24"/>
      <c r="CD37" s="24"/>
      <c r="CE37" s="24"/>
      <c r="CF37" s="24"/>
      <c r="CG37" s="24"/>
      <c r="CH37" s="24"/>
      <c r="CI37" s="24"/>
      <c r="CJ37" s="24"/>
      <c r="CK37" s="24"/>
      <c r="CL37" s="24"/>
      <c r="CM37" s="24"/>
      <c r="CN37" s="24"/>
      <c r="CO37" s="24"/>
      <c r="CP37" s="24"/>
      <c r="CQ37" s="24"/>
      <c r="CR37" s="24"/>
      <c r="CS37" s="24"/>
      <c r="CT37" s="24"/>
      <c r="CU37" s="24"/>
      <c r="CV37" s="24"/>
    </row>
    <row r="38" spans="1:100" s="3" customFormat="1" ht="30" customHeight="1" thickBot="1" x14ac:dyDescent="0.3">
      <c r="A38" s="66" t="s">
        <v>58</v>
      </c>
      <c r="B38" s="72" t="s">
        <v>145</v>
      </c>
      <c r="C38" s="45" t="s">
        <v>75</v>
      </c>
      <c r="D38" s="41" t="s">
        <v>32</v>
      </c>
      <c r="E38" s="22">
        <v>1</v>
      </c>
      <c r="F38" s="63">
        <v>45958</v>
      </c>
      <c r="G38" s="63">
        <v>45967</v>
      </c>
      <c r="H38" s="10"/>
      <c r="I38" s="10"/>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c r="BK38" s="24"/>
      <c r="BL38" s="24"/>
      <c r="BM38" s="24"/>
      <c r="BN38" s="24"/>
      <c r="BO38" s="24"/>
      <c r="BP38" s="24"/>
      <c r="BQ38" s="24"/>
      <c r="BR38" s="24"/>
      <c r="BS38" s="24"/>
      <c r="BT38" s="24"/>
      <c r="BU38" s="24"/>
      <c r="BV38" s="24"/>
      <c r="BW38" s="24"/>
      <c r="BX38" s="24"/>
      <c r="BY38" s="24"/>
      <c r="BZ38" s="24"/>
      <c r="CA38" s="24"/>
      <c r="CB38" s="24"/>
      <c r="CC38" s="24"/>
      <c r="CD38" s="24"/>
      <c r="CE38" s="24"/>
      <c r="CF38" s="24"/>
      <c r="CG38" s="24"/>
      <c r="CH38" s="24"/>
      <c r="CI38" s="24"/>
      <c r="CJ38" s="24"/>
      <c r="CK38" s="24"/>
      <c r="CL38" s="24"/>
      <c r="CM38" s="24"/>
      <c r="CN38" s="24"/>
      <c r="CO38" s="24"/>
      <c r="CP38" s="24"/>
      <c r="CQ38" s="24"/>
      <c r="CR38" s="24"/>
      <c r="CS38" s="24"/>
      <c r="CT38" s="24"/>
      <c r="CU38" s="24"/>
      <c r="CV38" s="24"/>
    </row>
    <row r="39" spans="1:100" s="3" customFormat="1" ht="30" customHeight="1" thickBot="1" x14ac:dyDescent="0.3">
      <c r="A39" s="66" t="s">
        <v>147</v>
      </c>
      <c r="B39" s="72" t="s">
        <v>26</v>
      </c>
      <c r="C39" s="45" t="s">
        <v>75</v>
      </c>
      <c r="D39" s="41" t="s">
        <v>32</v>
      </c>
      <c r="E39" s="22">
        <v>1</v>
      </c>
      <c r="F39" s="63">
        <v>45958</v>
      </c>
      <c r="G39" s="63">
        <v>45961</v>
      </c>
      <c r="H39" s="10"/>
      <c r="I39" s="10"/>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c r="BK39" s="24"/>
      <c r="BL39" s="24"/>
      <c r="BM39" s="24"/>
      <c r="BN39" s="24"/>
      <c r="BO39" s="24"/>
      <c r="BP39" s="24"/>
      <c r="BQ39" s="24"/>
      <c r="BR39" s="24"/>
      <c r="BS39" s="24"/>
      <c r="BT39" s="24"/>
      <c r="BU39" s="24"/>
      <c r="BV39" s="24"/>
      <c r="BW39" s="24"/>
      <c r="BX39" s="24"/>
      <c r="BY39" s="24"/>
      <c r="BZ39" s="24"/>
      <c r="CA39" s="24"/>
      <c r="CB39" s="24"/>
      <c r="CC39" s="24"/>
      <c r="CD39" s="24"/>
      <c r="CE39" s="24"/>
      <c r="CF39" s="24"/>
      <c r="CG39" s="24"/>
      <c r="CH39" s="24"/>
      <c r="CI39" s="24"/>
      <c r="CJ39" s="24"/>
      <c r="CK39" s="24"/>
      <c r="CL39" s="24"/>
      <c r="CM39" s="24"/>
      <c r="CN39" s="24"/>
      <c r="CO39" s="24"/>
      <c r="CP39" s="24"/>
      <c r="CQ39" s="24"/>
      <c r="CR39" s="24"/>
      <c r="CS39" s="24"/>
      <c r="CT39" s="24"/>
      <c r="CU39" s="24"/>
      <c r="CV39" s="24"/>
    </row>
    <row r="40" spans="1:100" s="3" customFormat="1" ht="30" customHeight="1" thickBot="1" x14ac:dyDescent="0.3">
      <c r="A40" s="66" t="s">
        <v>148</v>
      </c>
      <c r="B40" s="72" t="s">
        <v>27</v>
      </c>
      <c r="C40" s="45" t="s">
        <v>75</v>
      </c>
      <c r="D40" s="41" t="s">
        <v>32</v>
      </c>
      <c r="E40" s="22">
        <v>1</v>
      </c>
      <c r="F40" s="63">
        <v>45958</v>
      </c>
      <c r="G40" s="63">
        <v>45961</v>
      </c>
      <c r="H40" s="10"/>
      <c r="I40" s="10">
        <f t="shared" si="46"/>
        <v>4</v>
      </c>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c r="BK40" s="24"/>
      <c r="BL40" s="24"/>
      <c r="BM40" s="24"/>
      <c r="BN40" s="24"/>
      <c r="BO40" s="24"/>
      <c r="BP40" s="24"/>
      <c r="BQ40" s="24"/>
      <c r="BR40" s="24"/>
      <c r="BS40" s="24"/>
      <c r="BT40" s="24"/>
      <c r="BU40" s="24"/>
      <c r="BV40" s="24"/>
      <c r="BW40" s="24"/>
      <c r="BX40" s="24"/>
      <c r="BY40" s="24"/>
      <c r="BZ40" s="24"/>
      <c r="CA40" s="24"/>
      <c r="CB40" s="24"/>
      <c r="CC40" s="24"/>
      <c r="CD40" s="24"/>
      <c r="CE40" s="24"/>
      <c r="CF40" s="24"/>
      <c r="CG40" s="24"/>
      <c r="CH40" s="24"/>
      <c r="CI40" s="24"/>
      <c r="CJ40" s="24"/>
      <c r="CK40" s="24"/>
      <c r="CL40" s="24"/>
      <c r="CM40" s="24"/>
      <c r="CN40" s="24"/>
      <c r="CO40" s="24"/>
      <c r="CP40" s="24"/>
      <c r="CQ40" s="24"/>
      <c r="CR40" s="24"/>
      <c r="CS40" s="24"/>
      <c r="CT40" s="24"/>
      <c r="CU40" s="24"/>
      <c r="CV40" s="24"/>
    </row>
    <row r="41" spans="1:100" s="3" customFormat="1" ht="30" customHeight="1" thickBot="1" x14ac:dyDescent="0.3">
      <c r="A41" s="66" t="s">
        <v>59</v>
      </c>
      <c r="B41" s="72" t="s">
        <v>140</v>
      </c>
      <c r="C41" s="45" t="s">
        <v>75</v>
      </c>
      <c r="D41" s="41" t="s">
        <v>31</v>
      </c>
      <c r="E41" s="22">
        <v>1</v>
      </c>
      <c r="F41" s="63">
        <v>45958</v>
      </c>
      <c r="G41" s="63">
        <v>45961</v>
      </c>
      <c r="H41" s="10"/>
      <c r="I41" s="10"/>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c r="BK41" s="24"/>
      <c r="BL41" s="24"/>
      <c r="BM41" s="24"/>
      <c r="BN41" s="24"/>
      <c r="BO41" s="24"/>
      <c r="BP41" s="24"/>
      <c r="BQ41" s="24"/>
      <c r="BR41" s="24"/>
      <c r="BS41" s="24"/>
      <c r="BT41" s="24"/>
      <c r="BU41" s="24"/>
      <c r="BV41" s="24"/>
      <c r="BW41" s="24"/>
      <c r="BX41" s="24"/>
      <c r="BY41" s="24"/>
      <c r="BZ41" s="24"/>
      <c r="CA41" s="24"/>
      <c r="CB41" s="24"/>
      <c r="CC41" s="24"/>
      <c r="CD41" s="24"/>
      <c r="CE41" s="24"/>
      <c r="CF41" s="24"/>
      <c r="CG41" s="24"/>
      <c r="CH41" s="24"/>
      <c r="CI41" s="24"/>
      <c r="CJ41" s="24"/>
      <c r="CK41" s="24"/>
      <c r="CL41" s="24"/>
      <c r="CM41" s="24"/>
      <c r="CN41" s="24"/>
      <c r="CO41" s="24"/>
      <c r="CP41" s="24"/>
      <c r="CQ41" s="24"/>
      <c r="CR41" s="24"/>
      <c r="CS41" s="24"/>
      <c r="CT41" s="24"/>
      <c r="CU41" s="24"/>
      <c r="CV41" s="24"/>
    </row>
    <row r="42" spans="1:100" s="3" customFormat="1" ht="30" customHeight="1" thickBot="1" x14ac:dyDescent="0.3">
      <c r="A42" s="66" t="s">
        <v>60</v>
      </c>
      <c r="B42" s="72" t="s">
        <v>139</v>
      </c>
      <c r="C42" s="45" t="s">
        <v>75</v>
      </c>
      <c r="D42" s="41" t="s">
        <v>31</v>
      </c>
      <c r="E42" s="22">
        <v>1</v>
      </c>
      <c r="F42" s="63">
        <v>45961</v>
      </c>
      <c r="G42" s="63">
        <v>45965</v>
      </c>
      <c r="H42" s="10"/>
      <c r="I42" s="10"/>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c r="BK42" s="24"/>
      <c r="BL42" s="24"/>
      <c r="BM42" s="24"/>
      <c r="BN42" s="24"/>
      <c r="BO42" s="24"/>
      <c r="BP42" s="24"/>
      <c r="BQ42" s="24"/>
      <c r="BR42" s="24"/>
      <c r="BS42" s="24"/>
      <c r="BT42" s="24"/>
      <c r="BU42" s="24"/>
      <c r="BV42" s="24"/>
      <c r="BW42" s="24"/>
      <c r="BX42" s="24"/>
      <c r="BY42" s="24"/>
      <c r="BZ42" s="24"/>
      <c r="CA42" s="24"/>
      <c r="CB42" s="24"/>
      <c r="CC42" s="24"/>
      <c r="CD42" s="24"/>
      <c r="CE42" s="24"/>
      <c r="CF42" s="24"/>
      <c r="CG42" s="24"/>
      <c r="CH42" s="24"/>
      <c r="CI42" s="24"/>
      <c r="CJ42" s="24"/>
      <c r="CK42" s="24"/>
      <c r="CL42" s="24"/>
      <c r="CM42" s="24"/>
      <c r="CN42" s="24"/>
      <c r="CO42" s="24"/>
      <c r="CP42" s="24"/>
      <c r="CQ42" s="24"/>
      <c r="CR42" s="24"/>
      <c r="CS42" s="24"/>
      <c r="CT42" s="24"/>
      <c r="CU42" s="24"/>
      <c r="CV42" s="24"/>
    </row>
    <row r="43" spans="1:100" s="3" customFormat="1" ht="30" customHeight="1" thickBot="1" x14ac:dyDescent="0.3">
      <c r="A43" s="66" t="s">
        <v>61</v>
      </c>
      <c r="B43" s="72" t="s">
        <v>29</v>
      </c>
      <c r="C43" s="45" t="s">
        <v>75</v>
      </c>
      <c r="D43" s="41" t="s">
        <v>33</v>
      </c>
      <c r="E43" s="22">
        <v>1</v>
      </c>
      <c r="F43" s="63">
        <v>45965</v>
      </c>
      <c r="G43" s="63">
        <v>45967</v>
      </c>
      <c r="H43" s="10"/>
      <c r="I43" s="10">
        <f t="shared" si="46"/>
        <v>3</v>
      </c>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4"/>
      <c r="BF43" s="24"/>
      <c r="BG43" s="24"/>
      <c r="BH43" s="24"/>
      <c r="BI43" s="24"/>
      <c r="BJ43" s="24"/>
      <c r="BK43" s="24"/>
      <c r="BL43" s="24"/>
      <c r="BM43" s="24"/>
      <c r="BN43" s="24"/>
      <c r="BO43" s="24"/>
      <c r="BP43" s="24"/>
      <c r="BQ43" s="24"/>
      <c r="BR43" s="24"/>
      <c r="BS43" s="24"/>
      <c r="BT43" s="24"/>
      <c r="BU43" s="24"/>
      <c r="BV43" s="24"/>
      <c r="BW43" s="24"/>
      <c r="BX43" s="24"/>
      <c r="BY43" s="24"/>
      <c r="BZ43" s="24"/>
      <c r="CA43" s="24"/>
      <c r="CB43" s="24"/>
      <c r="CC43" s="24"/>
      <c r="CD43" s="24"/>
      <c r="CE43" s="24"/>
      <c r="CF43" s="24"/>
      <c r="CG43" s="24"/>
      <c r="CH43" s="24"/>
      <c r="CI43" s="24"/>
      <c r="CJ43" s="24"/>
      <c r="CK43" s="24"/>
      <c r="CL43" s="24"/>
      <c r="CM43" s="24"/>
      <c r="CN43" s="24"/>
      <c r="CO43" s="24"/>
      <c r="CP43" s="24"/>
      <c r="CQ43" s="24"/>
      <c r="CR43" s="24"/>
      <c r="CS43" s="24"/>
      <c r="CT43" s="24"/>
      <c r="CU43" s="24"/>
      <c r="CV43" s="24"/>
    </row>
    <row r="44" spans="1:100" s="3" customFormat="1" ht="30" customHeight="1" thickBot="1" x14ac:dyDescent="0.3">
      <c r="A44" s="66" t="s">
        <v>62</v>
      </c>
      <c r="B44" s="72" t="s">
        <v>30</v>
      </c>
      <c r="C44" s="45" t="s">
        <v>74</v>
      </c>
      <c r="D44" s="41" t="s">
        <v>33</v>
      </c>
      <c r="E44" s="22">
        <v>1</v>
      </c>
      <c r="F44" s="63">
        <v>45965</v>
      </c>
      <c r="G44" s="63">
        <v>45968</v>
      </c>
      <c r="H44" s="10"/>
      <c r="I44" s="10">
        <f t="shared" si="46"/>
        <v>4</v>
      </c>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c r="BH44" s="24"/>
      <c r="BI44" s="24"/>
      <c r="BJ44" s="24"/>
      <c r="BK44" s="24"/>
      <c r="BL44" s="24"/>
      <c r="BM44" s="24"/>
      <c r="BN44" s="24"/>
      <c r="BO44" s="24"/>
      <c r="BP44" s="24"/>
      <c r="BQ44" s="24"/>
      <c r="BR44" s="24"/>
      <c r="BS44" s="24"/>
      <c r="BT44" s="24"/>
      <c r="BU44" s="24"/>
      <c r="BV44" s="24"/>
      <c r="BW44" s="24"/>
      <c r="BX44" s="24"/>
      <c r="BY44" s="24"/>
      <c r="BZ44" s="24"/>
      <c r="CA44" s="24"/>
      <c r="CB44" s="24"/>
      <c r="CC44" s="24"/>
      <c r="CD44" s="24"/>
      <c r="CE44" s="24"/>
      <c r="CF44" s="24"/>
      <c r="CG44" s="24"/>
      <c r="CH44" s="24"/>
      <c r="CI44" s="24"/>
      <c r="CJ44" s="24"/>
      <c r="CK44" s="24"/>
      <c r="CL44" s="24"/>
      <c r="CM44" s="24"/>
      <c r="CN44" s="24"/>
      <c r="CO44" s="24"/>
      <c r="CP44" s="24"/>
      <c r="CQ44" s="24"/>
      <c r="CR44" s="24"/>
      <c r="CS44" s="24"/>
      <c r="CT44" s="24"/>
      <c r="CU44" s="24"/>
      <c r="CV44" s="24"/>
    </row>
    <row r="45" spans="1:100" s="3" customFormat="1" ht="30" customHeight="1" thickBot="1" x14ac:dyDescent="0.3">
      <c r="A45" s="66"/>
      <c r="B45" s="67" t="s">
        <v>34</v>
      </c>
      <c r="C45" s="14"/>
      <c r="D45" s="36"/>
      <c r="E45" s="15"/>
      <c r="F45" s="51"/>
      <c r="G45" s="52"/>
      <c r="H45" s="10"/>
      <c r="I45" s="10" t="str">
        <f t="shared" si="46"/>
        <v/>
      </c>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c r="BH45" s="24"/>
      <c r="BI45" s="24"/>
      <c r="BJ45" s="24"/>
      <c r="BK45" s="24"/>
      <c r="BL45" s="24"/>
      <c r="BM45" s="24"/>
      <c r="BN45" s="24"/>
      <c r="BO45" s="24"/>
      <c r="BP45" s="24"/>
      <c r="BQ45" s="24"/>
      <c r="BR45" s="24"/>
      <c r="BS45" s="24"/>
      <c r="BT45" s="24"/>
      <c r="BU45" s="24"/>
      <c r="BV45" s="24"/>
      <c r="BW45" s="24"/>
      <c r="BX45" s="24"/>
      <c r="BY45" s="24"/>
      <c r="BZ45" s="24"/>
      <c r="CA45" s="24"/>
      <c r="CB45" s="24"/>
      <c r="CC45" s="24"/>
      <c r="CD45" s="24"/>
      <c r="CE45" s="24"/>
      <c r="CF45" s="24"/>
      <c r="CG45" s="24"/>
      <c r="CH45" s="24"/>
      <c r="CI45" s="24"/>
      <c r="CJ45" s="24"/>
      <c r="CK45" s="24"/>
      <c r="CL45" s="24"/>
      <c r="CM45" s="24"/>
      <c r="CN45" s="24"/>
      <c r="CO45" s="24"/>
      <c r="CP45" s="24"/>
      <c r="CQ45" s="24"/>
      <c r="CR45" s="24"/>
      <c r="CS45" s="24"/>
      <c r="CT45" s="24"/>
      <c r="CU45" s="24"/>
      <c r="CV45" s="24"/>
    </row>
    <row r="46" spans="1:100" s="3" customFormat="1" ht="30" customHeight="1" thickBot="1" x14ac:dyDescent="0.3">
      <c r="A46" s="66" t="s">
        <v>63</v>
      </c>
      <c r="B46" s="68" t="s">
        <v>141</v>
      </c>
      <c r="C46" s="43" t="s">
        <v>75</v>
      </c>
      <c r="D46" s="37" t="s">
        <v>31</v>
      </c>
      <c r="E46" s="16">
        <v>1</v>
      </c>
      <c r="F46" s="62">
        <v>45971</v>
      </c>
      <c r="G46" s="62">
        <v>45974</v>
      </c>
      <c r="H46" s="23"/>
      <c r="I46" s="23">
        <f t="shared" si="46"/>
        <v>4</v>
      </c>
      <c r="J46" s="26"/>
      <c r="K46" s="26"/>
      <c r="L46" s="26"/>
      <c r="M46" s="26"/>
      <c r="N46" s="26"/>
      <c r="O46" s="26"/>
      <c r="P46" s="26"/>
      <c r="Q46" s="26"/>
      <c r="R46" s="26"/>
      <c r="S46" s="26"/>
      <c r="T46" s="26"/>
      <c r="U46" s="26"/>
      <c r="V46" s="26"/>
      <c r="W46" s="26"/>
      <c r="X46" s="26"/>
      <c r="Y46" s="26"/>
      <c r="Z46" s="26"/>
      <c r="AA46" s="26"/>
      <c r="AB46" s="26"/>
      <c r="AC46" s="26"/>
      <c r="AD46" s="26"/>
      <c r="AE46" s="26"/>
      <c r="AF46" s="26"/>
      <c r="AG46" s="26"/>
      <c r="AH46" s="26"/>
      <c r="AI46" s="26"/>
      <c r="AJ46" s="26"/>
      <c r="AK46" s="26"/>
      <c r="AL46" s="26"/>
      <c r="AM46" s="26"/>
      <c r="AN46" s="26"/>
      <c r="AO46" s="26"/>
      <c r="AP46" s="26"/>
      <c r="AQ46" s="26"/>
      <c r="AR46" s="26"/>
      <c r="AS46" s="26"/>
      <c r="AT46" s="26"/>
      <c r="AU46" s="26"/>
      <c r="AV46" s="26"/>
      <c r="AW46" s="26"/>
      <c r="AX46" s="26"/>
      <c r="AY46" s="26"/>
      <c r="AZ46" s="26"/>
      <c r="BA46" s="26"/>
      <c r="BB46" s="26"/>
      <c r="BC46" s="26"/>
      <c r="BD46" s="26"/>
      <c r="BE46" s="26"/>
      <c r="BF46" s="26"/>
      <c r="BG46" s="26"/>
      <c r="BH46" s="26"/>
      <c r="BI46" s="26"/>
      <c r="BJ46" s="26"/>
      <c r="BK46" s="26"/>
      <c r="BL46" s="26"/>
      <c r="BM46" s="26"/>
      <c r="BN46" s="26"/>
      <c r="BO46" s="26"/>
      <c r="BP46" s="26"/>
      <c r="BQ46" s="26"/>
      <c r="BR46" s="26"/>
      <c r="BS46" s="26"/>
      <c r="BT46" s="26"/>
      <c r="BU46" s="26"/>
      <c r="BV46" s="26"/>
      <c r="BW46" s="26"/>
      <c r="BX46" s="26"/>
      <c r="BY46" s="26"/>
      <c r="BZ46" s="26"/>
      <c r="CA46" s="26"/>
      <c r="CB46" s="26"/>
      <c r="CC46" s="26"/>
      <c r="CD46" s="26"/>
      <c r="CE46" s="26"/>
      <c r="CF46" s="26"/>
      <c r="CG46" s="26"/>
      <c r="CH46" s="26"/>
      <c r="CI46" s="26"/>
      <c r="CJ46" s="26"/>
      <c r="CK46" s="26"/>
      <c r="CL46" s="26"/>
      <c r="CM46" s="26"/>
      <c r="CN46" s="26"/>
      <c r="CO46" s="26"/>
      <c r="CP46" s="26"/>
      <c r="CQ46" s="26"/>
      <c r="CR46" s="26"/>
      <c r="CS46" s="26"/>
      <c r="CT46" s="26"/>
      <c r="CU46" s="26"/>
      <c r="CV46" s="24"/>
    </row>
    <row r="47" spans="1:100" ht="30" customHeight="1" thickBot="1" x14ac:dyDescent="0.3">
      <c r="A47" s="66" t="s">
        <v>64</v>
      </c>
      <c r="B47" s="68" t="s">
        <v>142</v>
      </c>
      <c r="C47" s="43" t="s">
        <v>75</v>
      </c>
      <c r="D47" s="37" t="s">
        <v>32</v>
      </c>
      <c r="E47" s="16">
        <v>1</v>
      </c>
      <c r="F47" s="62">
        <v>45973</v>
      </c>
      <c r="G47" s="62">
        <v>45975</v>
      </c>
      <c r="H47" s="10"/>
      <c r="I47" s="10"/>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24"/>
      <c r="BD47" s="24"/>
      <c r="BE47" s="24"/>
      <c r="BF47" s="24"/>
      <c r="BG47" s="24"/>
      <c r="BH47" s="24"/>
      <c r="BI47" s="24"/>
      <c r="BJ47" s="24"/>
      <c r="BK47" s="24"/>
      <c r="BL47" s="24"/>
      <c r="BM47" s="24"/>
      <c r="BN47" s="24"/>
      <c r="BO47" s="24"/>
      <c r="BP47" s="24"/>
      <c r="BQ47" s="24"/>
      <c r="BR47" s="24"/>
      <c r="BS47" s="24"/>
      <c r="BT47" s="24"/>
      <c r="BU47" s="24"/>
      <c r="BV47" s="24"/>
      <c r="BW47" s="24"/>
      <c r="BX47" s="24"/>
      <c r="BY47" s="24"/>
      <c r="BZ47" s="24"/>
      <c r="CA47" s="24"/>
      <c r="CB47" s="24"/>
      <c r="CC47" s="24"/>
      <c r="CD47" s="24"/>
      <c r="CE47" s="24"/>
      <c r="CF47" s="24"/>
      <c r="CG47" s="24"/>
      <c r="CH47" s="24"/>
      <c r="CI47" s="24"/>
      <c r="CJ47" s="24"/>
      <c r="CK47" s="24"/>
      <c r="CL47" s="24"/>
      <c r="CM47" s="24"/>
      <c r="CN47" s="24"/>
      <c r="CO47" s="24"/>
      <c r="CP47" s="24"/>
      <c r="CQ47" s="24"/>
      <c r="CR47" s="24"/>
      <c r="CS47" s="24"/>
      <c r="CT47" s="24"/>
      <c r="CU47" s="24"/>
      <c r="CV47" s="24"/>
    </row>
    <row r="48" spans="1:100" ht="30" customHeight="1" thickBot="1" x14ac:dyDescent="0.3">
      <c r="A48" s="66" t="s">
        <v>65</v>
      </c>
      <c r="B48" s="68" t="s">
        <v>144</v>
      </c>
      <c r="C48" s="43" t="s">
        <v>75</v>
      </c>
      <c r="D48" s="37" t="s">
        <v>33</v>
      </c>
      <c r="E48" s="16">
        <v>1</v>
      </c>
      <c r="F48" s="62">
        <v>45973</v>
      </c>
      <c r="G48" s="62">
        <v>45975</v>
      </c>
      <c r="H48" s="10"/>
      <c r="I48" s="10"/>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4"/>
      <c r="AW48" s="24"/>
      <c r="AX48" s="24"/>
      <c r="AY48" s="24"/>
      <c r="AZ48" s="24"/>
      <c r="BA48" s="24"/>
      <c r="BB48" s="24"/>
      <c r="BC48" s="24"/>
      <c r="BD48" s="24"/>
      <c r="BE48" s="24"/>
      <c r="BF48" s="24"/>
      <c r="BG48" s="24"/>
      <c r="BH48" s="24"/>
      <c r="BI48" s="24"/>
      <c r="BJ48" s="24"/>
      <c r="BK48" s="24"/>
      <c r="BL48" s="24"/>
      <c r="BM48" s="24"/>
      <c r="BN48" s="24"/>
      <c r="BO48" s="24"/>
      <c r="BP48" s="24"/>
      <c r="BQ48" s="24"/>
      <c r="BR48" s="24"/>
      <c r="BS48" s="24"/>
      <c r="BT48" s="24"/>
      <c r="BU48" s="24"/>
      <c r="BV48" s="24"/>
      <c r="BW48" s="24"/>
      <c r="BX48" s="24"/>
      <c r="BY48" s="24"/>
      <c r="BZ48" s="24"/>
      <c r="CA48" s="24"/>
      <c r="CB48" s="24"/>
      <c r="CC48" s="24"/>
      <c r="CD48" s="24"/>
      <c r="CE48" s="24"/>
      <c r="CF48" s="24"/>
      <c r="CG48" s="24"/>
      <c r="CH48" s="24"/>
      <c r="CI48" s="24"/>
      <c r="CJ48" s="24"/>
      <c r="CK48" s="24"/>
      <c r="CL48" s="24"/>
      <c r="CM48" s="24"/>
      <c r="CN48" s="24"/>
      <c r="CO48" s="24"/>
      <c r="CP48" s="24"/>
      <c r="CQ48" s="24"/>
      <c r="CR48" s="24"/>
      <c r="CS48" s="24"/>
      <c r="CT48" s="24"/>
      <c r="CU48" s="24"/>
      <c r="CV48" s="24"/>
    </row>
    <row r="49" spans="1:100" ht="30" customHeight="1" thickBot="1" x14ac:dyDescent="0.3">
      <c r="A49" s="66" t="s">
        <v>66</v>
      </c>
      <c r="B49" s="68" t="s">
        <v>143</v>
      </c>
      <c r="C49" s="43" t="s">
        <v>75</v>
      </c>
      <c r="D49" s="37" t="s">
        <v>33</v>
      </c>
      <c r="E49" s="16">
        <v>1</v>
      </c>
      <c r="F49" s="62">
        <v>45973</v>
      </c>
      <c r="G49" s="62">
        <v>45975</v>
      </c>
      <c r="H49" s="10"/>
      <c r="I49" s="10">
        <f t="shared" ref="I49:I50" si="47">IF(OR(ISBLANK(task_start),ISBLANK(task_end)),"",task_end-task_start+1)</f>
        <v>3</v>
      </c>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4"/>
      <c r="AX49" s="24"/>
      <c r="AY49" s="24"/>
      <c r="AZ49" s="24"/>
      <c r="BA49" s="24"/>
      <c r="BB49" s="24"/>
      <c r="BC49" s="24"/>
      <c r="BD49" s="24"/>
      <c r="BE49" s="24"/>
      <c r="BF49" s="24"/>
      <c r="BG49" s="24"/>
      <c r="BH49" s="24"/>
      <c r="BI49" s="24"/>
      <c r="BJ49" s="24"/>
      <c r="BK49" s="24"/>
      <c r="BL49" s="24"/>
      <c r="BM49" s="24"/>
      <c r="BN49" s="24"/>
      <c r="BO49" s="24"/>
      <c r="BP49" s="24"/>
      <c r="BQ49" s="24"/>
      <c r="BR49" s="24"/>
      <c r="BS49" s="24"/>
      <c r="BT49" s="24"/>
      <c r="BU49" s="24"/>
      <c r="BV49" s="24"/>
      <c r="BW49" s="24"/>
      <c r="BX49" s="24"/>
      <c r="BY49" s="24"/>
      <c r="BZ49" s="24"/>
      <c r="CA49" s="24"/>
      <c r="CB49" s="24"/>
      <c r="CC49" s="24"/>
      <c r="CD49" s="24"/>
      <c r="CE49" s="24"/>
      <c r="CF49" s="24"/>
      <c r="CG49" s="24"/>
      <c r="CH49" s="24"/>
      <c r="CI49" s="24"/>
      <c r="CJ49" s="24"/>
      <c r="CK49" s="24"/>
      <c r="CL49" s="24"/>
      <c r="CM49" s="24"/>
      <c r="CN49" s="24"/>
      <c r="CO49" s="24"/>
      <c r="CP49" s="24"/>
      <c r="CQ49" s="24"/>
      <c r="CR49" s="24"/>
      <c r="CS49" s="24"/>
      <c r="CT49" s="24"/>
      <c r="CU49" s="24"/>
      <c r="CV49" s="24"/>
    </row>
    <row r="50" spans="1:100" ht="30" customHeight="1" thickBot="1" x14ac:dyDescent="0.3">
      <c r="A50" s="66" t="s">
        <v>67</v>
      </c>
      <c r="B50" s="68" t="s">
        <v>126</v>
      </c>
      <c r="C50" s="43" t="s">
        <v>75</v>
      </c>
      <c r="D50" s="37" t="s">
        <v>33</v>
      </c>
      <c r="E50" s="16">
        <v>1</v>
      </c>
      <c r="F50" s="62">
        <v>45978</v>
      </c>
      <c r="G50" s="62">
        <v>45978</v>
      </c>
      <c r="H50" s="10"/>
      <c r="I50" s="10">
        <f t="shared" si="47"/>
        <v>1</v>
      </c>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4"/>
      <c r="AX50" s="24"/>
      <c r="AY50" s="24"/>
      <c r="AZ50" s="24"/>
      <c r="BA50" s="24"/>
      <c r="BB50" s="24"/>
      <c r="BC50" s="24"/>
      <c r="BD50" s="24"/>
      <c r="BE50" s="24"/>
      <c r="BF50" s="24"/>
      <c r="BG50" s="24"/>
      <c r="BH50" s="24"/>
      <c r="BI50" s="24"/>
      <c r="BJ50" s="24"/>
      <c r="BK50" s="24"/>
      <c r="BL50" s="24"/>
      <c r="BM50" s="24"/>
      <c r="BN50" s="24"/>
      <c r="BO50" s="24"/>
      <c r="BP50" s="24"/>
      <c r="BQ50" s="24"/>
      <c r="BR50" s="24"/>
      <c r="BS50" s="24"/>
      <c r="BT50" s="24"/>
      <c r="BU50" s="24"/>
      <c r="BV50" s="24"/>
      <c r="BW50" s="24"/>
      <c r="BX50" s="24"/>
      <c r="BY50" s="24"/>
      <c r="BZ50" s="24"/>
      <c r="CA50" s="24"/>
      <c r="CB50" s="24"/>
      <c r="CC50" s="24"/>
      <c r="CD50" s="24"/>
      <c r="CE50" s="24"/>
      <c r="CF50" s="24"/>
      <c r="CG50" s="24"/>
      <c r="CH50" s="24"/>
      <c r="CI50" s="24"/>
      <c r="CJ50" s="24"/>
      <c r="CK50" s="24"/>
      <c r="CL50" s="24"/>
      <c r="CM50" s="24"/>
      <c r="CN50" s="24"/>
      <c r="CO50" s="24"/>
      <c r="CP50" s="24"/>
      <c r="CQ50" s="24"/>
      <c r="CR50" s="24"/>
      <c r="CS50" s="24"/>
      <c r="CT50" s="24"/>
      <c r="CU50" s="24"/>
      <c r="CV50" s="24"/>
    </row>
    <row r="51" spans="1:100" ht="30" customHeight="1" thickBot="1" x14ac:dyDescent="0.3">
      <c r="A51" s="66"/>
      <c r="B51" s="73" t="s">
        <v>35</v>
      </c>
      <c r="C51" s="11"/>
      <c r="D51" s="34"/>
      <c r="E51" s="12"/>
      <c r="F51" s="49"/>
      <c r="G51" s="50"/>
      <c r="H51" s="10"/>
      <c r="I51" s="10" t="str">
        <f t="shared" ref="I51:I52" si="48">IF(OR(ISBLANK(task_start),ISBLANK(task_end)),"",task_end-task_start+1)</f>
        <v/>
      </c>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c r="AV51" s="24"/>
      <c r="AW51" s="24"/>
      <c r="AX51" s="24"/>
      <c r="AY51" s="24"/>
      <c r="AZ51" s="24"/>
      <c r="BA51" s="24"/>
      <c r="BB51" s="24"/>
      <c r="BC51" s="24"/>
      <c r="BD51" s="24"/>
      <c r="BE51" s="24"/>
      <c r="BF51" s="24"/>
      <c r="BG51" s="24"/>
      <c r="BH51" s="24"/>
      <c r="BI51" s="24"/>
      <c r="BJ51" s="24"/>
      <c r="BK51" s="24"/>
      <c r="BL51" s="24"/>
      <c r="BM51" s="24"/>
      <c r="BN51" s="24"/>
      <c r="BO51" s="24"/>
      <c r="BP51" s="24"/>
      <c r="BQ51" s="24"/>
      <c r="BR51" s="24"/>
      <c r="BS51" s="24"/>
      <c r="BT51" s="24"/>
      <c r="BU51" s="24"/>
      <c r="BV51" s="24"/>
      <c r="BW51" s="24"/>
      <c r="BX51" s="24"/>
      <c r="BY51" s="24"/>
      <c r="BZ51" s="24"/>
      <c r="CA51" s="24"/>
      <c r="CB51" s="24"/>
      <c r="CC51" s="24"/>
      <c r="CD51" s="24"/>
      <c r="CE51" s="24"/>
      <c r="CF51" s="24"/>
      <c r="CG51" s="24"/>
      <c r="CH51" s="24"/>
      <c r="CI51" s="24"/>
      <c r="CJ51" s="24"/>
      <c r="CK51" s="24"/>
      <c r="CL51" s="24"/>
      <c r="CM51" s="24"/>
      <c r="CN51" s="24"/>
      <c r="CO51" s="24"/>
      <c r="CP51" s="24"/>
      <c r="CQ51" s="24"/>
      <c r="CR51" s="24"/>
      <c r="CS51" s="24"/>
      <c r="CT51" s="24"/>
      <c r="CU51" s="24"/>
      <c r="CV51" s="24"/>
    </row>
    <row r="52" spans="1:100" ht="30" customHeight="1" thickBot="1" x14ac:dyDescent="0.3">
      <c r="A52" s="66" t="s">
        <v>69</v>
      </c>
      <c r="B52" s="64" t="s">
        <v>125</v>
      </c>
      <c r="C52" s="64" t="s">
        <v>74</v>
      </c>
      <c r="D52" s="35" t="s">
        <v>33</v>
      </c>
      <c r="E52" s="13">
        <v>0</v>
      </c>
      <c r="F52" s="61">
        <v>45979</v>
      </c>
      <c r="G52" s="61">
        <v>45980</v>
      </c>
      <c r="H52" s="23"/>
      <c r="I52" s="23">
        <f t="shared" si="48"/>
        <v>2</v>
      </c>
      <c r="J52" s="26"/>
      <c r="K52" s="26"/>
      <c r="L52" s="26"/>
      <c r="M52" s="26"/>
      <c r="N52" s="26"/>
      <c r="O52" s="26"/>
      <c r="P52" s="26"/>
      <c r="Q52" s="26"/>
      <c r="R52" s="26"/>
      <c r="S52" s="26"/>
      <c r="T52" s="26"/>
      <c r="U52" s="26"/>
      <c r="V52" s="26"/>
      <c r="W52" s="26"/>
      <c r="X52" s="26"/>
      <c r="Y52" s="26"/>
      <c r="Z52" s="26"/>
      <c r="AA52" s="26"/>
      <c r="AB52" s="26"/>
      <c r="AC52" s="26"/>
      <c r="AD52" s="26"/>
      <c r="AE52" s="26"/>
      <c r="AF52" s="26"/>
      <c r="AG52" s="26"/>
      <c r="AH52" s="26"/>
      <c r="AI52" s="26"/>
      <c r="AJ52" s="26"/>
      <c r="AK52" s="26"/>
      <c r="AL52" s="26"/>
      <c r="AM52" s="26"/>
      <c r="AN52" s="26"/>
      <c r="AO52" s="26"/>
      <c r="AP52" s="26"/>
      <c r="AQ52" s="26"/>
      <c r="AR52" s="26"/>
      <c r="AS52" s="26"/>
      <c r="AT52" s="26"/>
      <c r="AU52" s="26"/>
      <c r="AV52" s="26"/>
      <c r="AW52" s="26"/>
      <c r="AX52" s="26"/>
      <c r="AY52" s="26"/>
      <c r="AZ52" s="26"/>
      <c r="BA52" s="26"/>
      <c r="BB52" s="26"/>
      <c r="BC52" s="26"/>
      <c r="BD52" s="26"/>
      <c r="BE52" s="26"/>
      <c r="BF52" s="26"/>
      <c r="BG52" s="26"/>
      <c r="BH52" s="26"/>
      <c r="BI52" s="26"/>
      <c r="BJ52" s="26"/>
      <c r="BK52" s="26"/>
      <c r="BL52" s="26"/>
      <c r="BM52" s="26"/>
      <c r="BN52" s="26"/>
      <c r="BO52" s="26"/>
      <c r="BP52" s="26"/>
      <c r="BQ52" s="26"/>
      <c r="BR52" s="26"/>
      <c r="BS52" s="26"/>
      <c r="BT52" s="26"/>
      <c r="BU52" s="26"/>
      <c r="BV52" s="26"/>
      <c r="BW52" s="26"/>
      <c r="BX52" s="26"/>
      <c r="BY52" s="26"/>
      <c r="BZ52" s="26"/>
      <c r="CA52" s="26"/>
      <c r="CB52" s="26"/>
      <c r="CC52" s="26"/>
      <c r="CD52" s="26"/>
      <c r="CE52" s="26"/>
      <c r="CF52" s="26"/>
      <c r="CG52" s="26"/>
      <c r="CH52" s="26"/>
      <c r="CI52" s="26"/>
      <c r="CJ52" s="26"/>
      <c r="CK52" s="26"/>
      <c r="CL52" s="26"/>
      <c r="CM52" s="26"/>
      <c r="CN52" s="26"/>
      <c r="CO52" s="26"/>
      <c r="CP52" s="26"/>
      <c r="CQ52" s="26"/>
      <c r="CR52" s="26"/>
      <c r="CS52" s="26"/>
      <c r="CT52" s="26"/>
      <c r="CU52" s="26"/>
      <c r="CV52" s="24"/>
    </row>
    <row r="53" spans="1:100" ht="30" customHeight="1" thickBot="1" x14ac:dyDescent="0.3">
      <c r="A53" s="66" t="s">
        <v>70</v>
      </c>
      <c r="B53" s="64" t="s">
        <v>124</v>
      </c>
      <c r="C53" s="42" t="s">
        <v>75</v>
      </c>
      <c r="D53" s="35" t="s">
        <v>33</v>
      </c>
      <c r="E53" s="13">
        <v>0</v>
      </c>
      <c r="F53" s="61">
        <v>45980</v>
      </c>
      <c r="G53" s="61">
        <v>45981</v>
      </c>
      <c r="H53" s="10"/>
      <c r="I53" s="10"/>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24"/>
      <c r="AW53" s="24"/>
      <c r="AX53" s="24"/>
      <c r="AY53" s="24"/>
      <c r="AZ53" s="24"/>
      <c r="BA53" s="24"/>
      <c r="BB53" s="24"/>
      <c r="BC53" s="24"/>
      <c r="BD53" s="24"/>
      <c r="BE53" s="24"/>
      <c r="BF53" s="24"/>
      <c r="BG53" s="24"/>
      <c r="BH53" s="24"/>
      <c r="BI53" s="24"/>
      <c r="BJ53" s="24"/>
      <c r="BK53" s="24"/>
      <c r="BL53" s="24"/>
      <c r="BM53" s="24"/>
      <c r="BN53" s="24"/>
      <c r="BO53" s="24"/>
      <c r="BP53" s="24"/>
      <c r="BQ53" s="24"/>
      <c r="BR53" s="24"/>
      <c r="BS53" s="24"/>
      <c r="BT53" s="24"/>
      <c r="BU53" s="24"/>
      <c r="BV53" s="24"/>
      <c r="BW53" s="24"/>
      <c r="BX53" s="24"/>
      <c r="BY53" s="24"/>
      <c r="BZ53" s="24"/>
      <c r="CA53" s="24"/>
      <c r="CB53" s="24"/>
      <c r="CC53" s="24"/>
      <c r="CD53" s="24"/>
      <c r="CE53" s="24"/>
      <c r="CF53" s="24"/>
      <c r="CG53" s="24"/>
      <c r="CH53" s="24"/>
      <c r="CI53" s="24"/>
      <c r="CJ53" s="24"/>
      <c r="CK53" s="24"/>
      <c r="CL53" s="24"/>
      <c r="CM53" s="24"/>
      <c r="CN53" s="24"/>
      <c r="CO53" s="24"/>
      <c r="CP53" s="24"/>
      <c r="CQ53" s="24"/>
      <c r="CR53" s="24"/>
      <c r="CS53" s="24"/>
      <c r="CT53" s="24"/>
      <c r="CU53" s="24"/>
      <c r="CV53" s="24"/>
    </row>
    <row r="54" spans="1:100" ht="30" customHeight="1" thickBot="1" x14ac:dyDescent="0.3">
      <c r="A54" s="66"/>
      <c r="B54" s="69" t="s">
        <v>40</v>
      </c>
      <c r="C54" s="17"/>
      <c r="D54" s="38"/>
      <c r="E54" s="18"/>
      <c r="F54" s="53"/>
      <c r="G54" s="54"/>
      <c r="H54" s="10"/>
      <c r="I54" s="10" t="str">
        <f t="shared" ref="I54:I56" si="49">IF(OR(ISBLANK(task_start),ISBLANK(task_end)),"",task_end-task_start+1)</f>
        <v/>
      </c>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c r="BH54" s="24"/>
      <c r="BI54" s="24"/>
      <c r="BJ54" s="24"/>
      <c r="BK54" s="24"/>
      <c r="BL54" s="24"/>
      <c r="BM54" s="24"/>
      <c r="BN54" s="24"/>
      <c r="BO54" s="24"/>
      <c r="BP54" s="24"/>
      <c r="BQ54" s="24"/>
      <c r="BR54" s="24"/>
      <c r="BS54" s="24"/>
      <c r="BT54" s="24"/>
      <c r="BU54" s="24"/>
      <c r="BV54" s="24"/>
      <c r="BW54" s="24"/>
      <c r="BX54" s="24"/>
      <c r="BY54" s="24"/>
      <c r="BZ54" s="24"/>
      <c r="CA54" s="24"/>
      <c r="CB54" s="24"/>
      <c r="CC54" s="24"/>
      <c r="CD54" s="24"/>
      <c r="CE54" s="24"/>
      <c r="CF54" s="24"/>
      <c r="CG54" s="24"/>
      <c r="CH54" s="24"/>
      <c r="CI54" s="24"/>
      <c r="CJ54" s="24"/>
      <c r="CK54" s="24"/>
      <c r="CL54" s="24"/>
      <c r="CM54" s="24"/>
      <c r="CN54" s="24"/>
      <c r="CO54" s="24"/>
      <c r="CP54" s="24"/>
      <c r="CQ54" s="24"/>
      <c r="CR54" s="24"/>
      <c r="CS54" s="24"/>
      <c r="CT54" s="24"/>
      <c r="CU54" s="24"/>
      <c r="CV54" s="24"/>
    </row>
    <row r="55" spans="1:100" ht="30" customHeight="1" thickBot="1" x14ac:dyDescent="0.3">
      <c r="A55" s="66" t="s">
        <v>71</v>
      </c>
      <c r="B55" s="70" t="s">
        <v>123</v>
      </c>
      <c r="C55" s="44" t="s">
        <v>74</v>
      </c>
      <c r="D55" s="39" t="s">
        <v>33</v>
      </c>
      <c r="E55" s="19">
        <v>0</v>
      </c>
      <c r="F55" s="55">
        <v>45979</v>
      </c>
      <c r="G55" s="55">
        <v>45990</v>
      </c>
      <c r="H55" s="10"/>
      <c r="I55" s="10"/>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4"/>
      <c r="BF55" s="24"/>
      <c r="BG55" s="24"/>
      <c r="BH55" s="24"/>
      <c r="BI55" s="24"/>
      <c r="BJ55" s="24"/>
      <c r="BK55" s="24"/>
      <c r="BL55" s="24"/>
      <c r="BM55" s="24"/>
      <c r="BN55" s="24"/>
      <c r="BO55" s="24"/>
      <c r="BP55" s="24"/>
      <c r="BQ55" s="24"/>
      <c r="BR55" s="24"/>
      <c r="BS55" s="24"/>
      <c r="BT55" s="24"/>
      <c r="BU55" s="24"/>
      <c r="BV55" s="24"/>
      <c r="BW55" s="24"/>
      <c r="BX55" s="24"/>
      <c r="BY55" s="24"/>
      <c r="BZ55" s="24"/>
      <c r="CA55" s="24"/>
      <c r="CB55" s="24"/>
      <c r="CC55" s="24"/>
      <c r="CD55" s="24"/>
      <c r="CE55" s="24"/>
      <c r="CF55" s="24"/>
      <c r="CG55" s="24"/>
      <c r="CH55" s="24"/>
      <c r="CI55" s="24"/>
      <c r="CJ55" s="24"/>
      <c r="CK55" s="24"/>
      <c r="CL55" s="24"/>
      <c r="CM55" s="24"/>
      <c r="CN55" s="24"/>
      <c r="CO55" s="24"/>
      <c r="CP55" s="24"/>
      <c r="CQ55" s="24"/>
      <c r="CR55" s="24"/>
      <c r="CS55" s="24"/>
      <c r="CT55" s="24"/>
      <c r="CU55" s="24"/>
      <c r="CV55" s="24"/>
    </row>
    <row r="56" spans="1:100" ht="30" customHeight="1" thickBot="1" x14ac:dyDescent="0.3">
      <c r="A56" s="66" t="s">
        <v>72</v>
      </c>
      <c r="B56" s="70" t="s">
        <v>39</v>
      </c>
      <c r="C56" s="44" t="s">
        <v>75</v>
      </c>
      <c r="D56" s="39" t="s">
        <v>32</v>
      </c>
      <c r="E56" s="19">
        <v>0</v>
      </c>
      <c r="F56" s="55">
        <v>45981</v>
      </c>
      <c r="G56" s="55">
        <v>45981</v>
      </c>
      <c r="H56" s="10"/>
      <c r="I56" s="10">
        <f t="shared" si="49"/>
        <v>1</v>
      </c>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24"/>
      <c r="AZ56" s="24"/>
      <c r="BA56" s="24"/>
      <c r="BB56" s="24"/>
      <c r="BC56" s="24"/>
      <c r="BD56" s="24"/>
      <c r="BE56" s="24"/>
      <c r="BF56" s="24"/>
      <c r="BG56" s="24"/>
      <c r="BH56" s="24"/>
      <c r="BI56" s="24"/>
      <c r="BJ56" s="24"/>
      <c r="BK56" s="24"/>
      <c r="BL56" s="24"/>
      <c r="BM56" s="24"/>
      <c r="BN56" s="24"/>
      <c r="BO56" s="24"/>
      <c r="BP56" s="24"/>
      <c r="BQ56" s="24"/>
      <c r="BR56" s="24"/>
      <c r="BS56" s="24"/>
      <c r="BT56" s="24"/>
      <c r="BU56" s="24"/>
      <c r="BV56" s="24"/>
      <c r="BW56" s="24"/>
      <c r="BX56" s="24"/>
      <c r="BY56" s="24"/>
      <c r="BZ56" s="24"/>
      <c r="CA56" s="24"/>
      <c r="CB56" s="24"/>
      <c r="CC56" s="24"/>
      <c r="CD56" s="24"/>
      <c r="CE56" s="24"/>
      <c r="CF56" s="24"/>
      <c r="CG56" s="24"/>
      <c r="CH56" s="24"/>
      <c r="CI56" s="24"/>
      <c r="CJ56" s="24"/>
      <c r="CK56" s="24"/>
      <c r="CL56" s="24"/>
      <c r="CM56" s="24"/>
      <c r="CN56" s="24"/>
      <c r="CO56" s="24"/>
      <c r="CP56" s="24"/>
      <c r="CQ56" s="24"/>
      <c r="CR56" s="24"/>
      <c r="CS56" s="24"/>
      <c r="CT56" s="24"/>
      <c r="CU56" s="24"/>
      <c r="CV56" s="24"/>
    </row>
  </sheetData>
  <mergeCells count="16">
    <mergeCell ref="D3:E3"/>
    <mergeCell ref="D4:E4"/>
    <mergeCell ref="AL4:AR4"/>
    <mergeCell ref="AS4:AY4"/>
    <mergeCell ref="AZ4:BF4"/>
    <mergeCell ref="BG4:BM4"/>
    <mergeCell ref="F3:G3"/>
    <mergeCell ref="J4:P4"/>
    <mergeCell ref="Q4:W4"/>
    <mergeCell ref="X4:AD4"/>
    <mergeCell ref="AE4:AK4"/>
    <mergeCell ref="BN4:BT4"/>
    <mergeCell ref="BU4:CA4"/>
    <mergeCell ref="CB4:CH4"/>
    <mergeCell ref="CI4:CO4"/>
    <mergeCell ref="CP4:CV4"/>
  </mergeCells>
  <phoneticPr fontId="27" type="noConversion"/>
  <conditionalFormatting sqref="E7:E56">
    <cfRule type="dataBar" priority="20">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J42:CU46 CV42:CV48 J51:CU52 BN5:CV6 J5:BM41 BN8:CV41">
    <cfRule type="expression" dxfId="8" priority="39">
      <formula>AND(TODAY()&gt;=J$5,TODAY()&lt;K$5)</formula>
    </cfRule>
  </conditionalFormatting>
  <conditionalFormatting sqref="J42:CU46 CV42:CV48 J51:CU52 J7:BM41 BN8:CV41">
    <cfRule type="expression" dxfId="7" priority="34" stopIfTrue="1">
      <formula>AND(task_end&gt;=J$5,task_start&lt;K$5)</formula>
    </cfRule>
  </conditionalFormatting>
  <conditionalFormatting sqref="J47:BM56 BN49:CV56">
    <cfRule type="expression" dxfId="6" priority="1">
      <formula>AND(task_start&lt;=J$5,ROUNDDOWN((task_end-task_start+1)*task_progress,0)+task_start-1&gt;=J$5)</formula>
    </cfRule>
    <cfRule type="expression" dxfId="5" priority="2" stopIfTrue="1">
      <formula>AND(task_end&gt;=J$5,task_start&lt;K$5)</formula>
    </cfRule>
    <cfRule type="expression" dxfId="4" priority="3">
      <formula>AND(TODAY()&gt;=J$5,TODAY()&lt;K$5)</formula>
    </cfRule>
  </conditionalFormatting>
  <conditionalFormatting sqref="J51:CU52 J42:CU46 CV42:CV48 J7:BM41 BN8:CV41">
    <cfRule type="expression" dxfId="3" priority="33">
      <formula>AND(task_start&lt;=J$5,ROUNDDOWN((task_end-task_start+1)*task_progress,0)+task_start-1&gt;=J$5)</formula>
    </cfRule>
  </conditionalFormatting>
  <conditionalFormatting sqref="BN47:CU48">
    <cfRule type="expression" dxfId="2" priority="4">
      <formula>AND(task_start&lt;=BN$5,ROUNDDOWN((task_end-task_start+1)*task_progress,0)+task_start-1&gt;=BN$5)</formula>
    </cfRule>
    <cfRule type="expression" dxfId="1" priority="5" stopIfTrue="1">
      <formula>AND(task_end&gt;=BN$5,task_start&lt;BO$5)</formula>
    </cfRule>
    <cfRule type="expression" dxfId="0" priority="6">
      <formula>AND(TODAY()&gt;=BN$5,TODAY()&lt;BO$5)</formula>
    </cfRule>
  </conditionalFormatting>
  <dataValidations count="1">
    <dataValidation type="whole" operator="greaterThanOrEqual" allowBlank="1" showInputMessage="1" promptTitle="Mostrar semana" prompt="Al cambiar este número, se desplazará la vista del diagrama de Gantt." sqref="F4" xr:uid="{00000000-0002-0000-0000-000000000000}">
      <formula1>1</formula1>
    </dataValidation>
  </dataValidations>
  <printOptions horizontalCentered="1"/>
  <pageMargins left="0.35" right="0.35" top="0.35" bottom="0.5" header="0.3" footer="0.3"/>
  <pageSetup paperSize="9" scale="50"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E7:E56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CF29A-6D74-4A61-ACEC-3948EB7D9C3A}">
  <dimension ref="A3:C33"/>
  <sheetViews>
    <sheetView tabSelected="1" workbookViewId="0">
      <selection activeCell="B10" sqref="B10"/>
    </sheetView>
  </sheetViews>
  <sheetFormatPr baseColWidth="10" defaultRowHeight="15" x14ac:dyDescent="0.25"/>
  <cols>
    <col min="1" max="1" width="6.5703125" customWidth="1"/>
    <col min="2" max="2" width="26.140625" customWidth="1"/>
    <col min="3" max="3" width="97.85546875" customWidth="1"/>
  </cols>
  <sheetData>
    <row r="3" spans="1:3" ht="18.75" x14ac:dyDescent="0.3">
      <c r="A3" s="76" t="s">
        <v>42</v>
      </c>
      <c r="B3" s="77" t="s">
        <v>6</v>
      </c>
      <c r="C3" s="77" t="s">
        <v>76</v>
      </c>
    </row>
    <row r="4" spans="1:3" ht="44.25" customHeight="1" x14ac:dyDescent="0.25">
      <c r="A4" s="74" t="s">
        <v>43</v>
      </c>
      <c r="B4" s="75" t="s">
        <v>113</v>
      </c>
      <c r="C4" s="75" t="s">
        <v>165</v>
      </c>
    </row>
    <row r="5" spans="1:3" ht="44.25" customHeight="1" x14ac:dyDescent="0.25">
      <c r="A5" s="74" t="s">
        <v>44</v>
      </c>
      <c r="B5" s="75" t="s">
        <v>114</v>
      </c>
      <c r="C5" s="75" t="s">
        <v>166</v>
      </c>
    </row>
    <row r="6" spans="1:3" ht="45" x14ac:dyDescent="0.25">
      <c r="A6" s="74" t="s">
        <v>45</v>
      </c>
      <c r="B6" s="75" t="s">
        <v>164</v>
      </c>
      <c r="C6" s="75" t="s">
        <v>163</v>
      </c>
    </row>
    <row r="7" spans="1:3" ht="30" x14ac:dyDescent="0.25">
      <c r="A7" s="74" t="s">
        <v>46</v>
      </c>
      <c r="B7" s="75" t="s">
        <v>16</v>
      </c>
      <c r="C7" s="75" t="s">
        <v>78</v>
      </c>
    </row>
    <row r="8" spans="1:3" x14ac:dyDescent="0.25">
      <c r="A8" s="74" t="s">
        <v>47</v>
      </c>
      <c r="B8" s="75" t="s">
        <v>77</v>
      </c>
      <c r="C8" s="75" t="s">
        <v>79</v>
      </c>
    </row>
    <row r="9" spans="1:3" ht="30" x14ac:dyDescent="0.25">
      <c r="A9" s="74" t="s">
        <v>48</v>
      </c>
      <c r="B9" s="75" t="s">
        <v>15</v>
      </c>
      <c r="C9" s="75" t="s">
        <v>80</v>
      </c>
    </row>
    <row r="10" spans="1:3" ht="30" x14ac:dyDescent="0.25">
      <c r="A10" s="74" t="s">
        <v>49</v>
      </c>
      <c r="B10" s="75" t="s">
        <v>21</v>
      </c>
      <c r="C10" s="75" t="s">
        <v>81</v>
      </c>
    </row>
    <row r="11" spans="1:3" ht="30" x14ac:dyDescent="0.25">
      <c r="A11" s="74" t="s">
        <v>50</v>
      </c>
      <c r="B11" s="75" t="s">
        <v>22</v>
      </c>
      <c r="C11" s="75" t="s">
        <v>82</v>
      </c>
    </row>
    <row r="12" spans="1:3" x14ac:dyDescent="0.25">
      <c r="A12" s="74" t="s">
        <v>111</v>
      </c>
      <c r="B12" s="75" t="s">
        <v>161</v>
      </c>
      <c r="C12" s="75" t="s">
        <v>162</v>
      </c>
    </row>
    <row r="13" spans="1:3" ht="30" x14ac:dyDescent="0.25">
      <c r="A13" s="74" t="s">
        <v>51</v>
      </c>
      <c r="B13" s="75" t="s">
        <v>157</v>
      </c>
      <c r="C13" s="75" t="s">
        <v>83</v>
      </c>
    </row>
    <row r="14" spans="1:3" ht="30" x14ac:dyDescent="0.25">
      <c r="A14" s="74" t="s">
        <v>52</v>
      </c>
      <c r="B14" s="75" t="s">
        <v>159</v>
      </c>
      <c r="C14" s="75" t="s">
        <v>84</v>
      </c>
    </row>
    <row r="15" spans="1:3" ht="30" x14ac:dyDescent="0.25">
      <c r="A15" s="74" t="s">
        <v>53</v>
      </c>
      <c r="B15" s="75" t="s">
        <v>158</v>
      </c>
      <c r="C15" s="75" t="s">
        <v>85</v>
      </c>
    </row>
    <row r="16" spans="1:3" ht="30" x14ac:dyDescent="0.25">
      <c r="A16" s="74" t="s">
        <v>54</v>
      </c>
      <c r="B16" s="75" t="s">
        <v>104</v>
      </c>
      <c r="C16" s="75" t="s">
        <v>86</v>
      </c>
    </row>
    <row r="17" spans="1:3" ht="30" x14ac:dyDescent="0.25">
      <c r="A17" s="74" t="s">
        <v>55</v>
      </c>
      <c r="B17" s="75" t="s">
        <v>160</v>
      </c>
      <c r="C17" s="75" t="s">
        <v>87</v>
      </c>
    </row>
    <row r="18" spans="1:3" x14ac:dyDescent="0.25">
      <c r="A18" s="74" t="s">
        <v>56</v>
      </c>
      <c r="B18" s="75" t="s">
        <v>25</v>
      </c>
      <c r="C18" s="75" t="s">
        <v>88</v>
      </c>
    </row>
    <row r="19" spans="1:3" ht="45" x14ac:dyDescent="0.25">
      <c r="A19" s="74" t="s">
        <v>57</v>
      </c>
      <c r="B19" s="75" t="s">
        <v>153</v>
      </c>
      <c r="C19" s="75" t="s">
        <v>152</v>
      </c>
    </row>
    <row r="20" spans="1:3" x14ac:dyDescent="0.25">
      <c r="A20" s="74" t="s">
        <v>58</v>
      </c>
      <c r="B20" s="75" t="s">
        <v>154</v>
      </c>
      <c r="C20" s="75" t="s">
        <v>89</v>
      </c>
    </row>
    <row r="21" spans="1:3" x14ac:dyDescent="0.25">
      <c r="A21" s="74" t="s">
        <v>59</v>
      </c>
      <c r="B21" s="75" t="s">
        <v>28</v>
      </c>
      <c r="C21" s="75" t="s">
        <v>90</v>
      </c>
    </row>
    <row r="22" spans="1:3" ht="45" x14ac:dyDescent="0.25">
      <c r="A22" s="74" t="s">
        <v>60</v>
      </c>
      <c r="B22" s="75" t="s">
        <v>156</v>
      </c>
      <c r="C22" s="75" t="s">
        <v>155</v>
      </c>
    </row>
    <row r="23" spans="1:3" x14ac:dyDescent="0.25">
      <c r="A23" s="74" t="s">
        <v>61</v>
      </c>
      <c r="B23" s="75" t="s">
        <v>29</v>
      </c>
      <c r="C23" s="75" t="s">
        <v>91</v>
      </c>
    </row>
    <row r="24" spans="1:3" x14ac:dyDescent="0.25">
      <c r="A24" s="74" t="s">
        <v>62</v>
      </c>
      <c r="B24" s="75" t="s">
        <v>30</v>
      </c>
      <c r="C24" s="75" t="s">
        <v>92</v>
      </c>
    </row>
    <row r="25" spans="1:3" ht="30" x14ac:dyDescent="0.25">
      <c r="A25" s="74" t="s">
        <v>63</v>
      </c>
      <c r="B25" s="75" t="s">
        <v>141</v>
      </c>
      <c r="C25" s="75" t="s">
        <v>93</v>
      </c>
    </row>
    <row r="26" spans="1:3" ht="30" x14ac:dyDescent="0.25">
      <c r="A26" s="74" t="s">
        <v>64</v>
      </c>
      <c r="B26" s="75" t="s">
        <v>149</v>
      </c>
      <c r="C26" s="75" t="s">
        <v>94</v>
      </c>
    </row>
    <row r="27" spans="1:3" ht="30" x14ac:dyDescent="0.25">
      <c r="A27" s="74" t="s">
        <v>65</v>
      </c>
      <c r="B27" s="75" t="s">
        <v>143</v>
      </c>
      <c r="C27" s="75" t="s">
        <v>95</v>
      </c>
    </row>
    <row r="28" spans="1:3" ht="30" x14ac:dyDescent="0.25">
      <c r="A28" s="74" t="s">
        <v>66</v>
      </c>
      <c r="B28" s="75" t="s">
        <v>150</v>
      </c>
      <c r="C28" s="75" t="s">
        <v>96</v>
      </c>
    </row>
    <row r="29" spans="1:3" ht="30" x14ac:dyDescent="0.25">
      <c r="A29" s="74" t="s">
        <v>68</v>
      </c>
      <c r="B29" s="75" t="s">
        <v>151</v>
      </c>
      <c r="C29" s="75" t="s">
        <v>97</v>
      </c>
    </row>
    <row r="30" spans="1:3" x14ac:dyDescent="0.25">
      <c r="A30" s="74" t="s">
        <v>69</v>
      </c>
      <c r="B30" s="75" t="s">
        <v>36</v>
      </c>
      <c r="C30" s="75" t="s">
        <v>98</v>
      </c>
    </row>
    <row r="31" spans="1:3" x14ac:dyDescent="0.25">
      <c r="A31" s="74" t="s">
        <v>70</v>
      </c>
      <c r="B31" s="75" t="s">
        <v>37</v>
      </c>
      <c r="C31" s="75" t="s">
        <v>99</v>
      </c>
    </row>
    <row r="32" spans="1:3" x14ac:dyDescent="0.25">
      <c r="A32" s="74" t="s">
        <v>71</v>
      </c>
      <c r="B32" s="75" t="s">
        <v>38</v>
      </c>
      <c r="C32" s="75" t="s">
        <v>100</v>
      </c>
    </row>
    <row r="33" spans="1:3" ht="30" x14ac:dyDescent="0.25">
      <c r="A33" s="74" t="s">
        <v>72</v>
      </c>
      <c r="B33" s="75" t="s">
        <v>39</v>
      </c>
      <c r="C33" s="75" t="s">
        <v>101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F80F839-78EF-4FF4-A673-3CC84279C2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C3AD2E1-977A-4D4F-8EE8-D64B5FFADF75}">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3.xml><?xml version="1.0" encoding="utf-8"?>
<ds:datastoreItem xmlns:ds="http://schemas.openxmlformats.org/officeDocument/2006/customXml" ds:itemID="{E4A34E49-7289-4AEA-9593-4F55E04ADB1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Hojas de cálculo</vt:lpstr>
      </vt:variant>
      <vt:variant>
        <vt:i4>2</vt:i4>
      </vt:variant>
      <vt:variant>
        <vt:lpstr>Rangos con nombre</vt:lpstr>
      </vt:variant>
      <vt:variant>
        <vt:i4>6</vt:i4>
      </vt:variant>
    </vt:vector>
  </HeadingPairs>
  <TitlesOfParts>
    <vt:vector size="8" baseType="lpstr">
      <vt:lpstr>Gannt</vt:lpstr>
      <vt:lpstr>Cod</vt:lpstr>
      <vt:lpstr>Inicio_del_proyecto</vt:lpstr>
      <vt:lpstr>Semana_para_mostrar</vt:lpstr>
      <vt:lpstr>Gannt!task_end</vt:lpstr>
      <vt:lpstr>Gannt!task_progress</vt:lpstr>
      <vt:lpstr>Gannt!task_start</vt:lpstr>
      <vt:lpstr>Gannt!Títulos_a_imprimir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2021-12-14T20:18:50Z</dcterms:created>
  <dcterms:modified xsi:type="dcterms:W3CDTF">2025-11-18T22:34:22Z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