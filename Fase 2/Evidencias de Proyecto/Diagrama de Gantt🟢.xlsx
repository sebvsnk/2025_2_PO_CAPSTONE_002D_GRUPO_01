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0861A5E1-B1E0-43B6-83F3-FD9732C79452}" xr6:coauthVersionLast="47" xr6:coauthVersionMax="47" xr10:uidLastSave="{00000000-0000-0000-0000-000000000000}"/>
  <bookViews>
    <workbookView xWindow="-120" yWindow="-120" windowWidth="29040" windowHeight="15720" xr2:uid="{00000000-000D-0000-FFFF-FFFF00000000}"/>
  </bookViews>
  <sheets>
    <sheet name="Gannt" sheetId="11" r:id="rId1"/>
    <sheet name="Cod" sheetId="14" r:id="rId2"/>
  </sheets>
  <definedNames>
    <definedName name="hoy" localSheetId="0">TODAY()</definedName>
    <definedName name="Inicio_del_proyecto">Gannt!$F$3</definedName>
    <definedName name="Semana_para_mostrar">Gannt!$F$4</definedName>
    <definedName name="task_end" localSheetId="0">Gannt!$G1</definedName>
    <definedName name="task_progress" localSheetId="0">Gannt!$E1</definedName>
    <definedName name="task_start" localSheetId="0">Gannt!$F1</definedName>
    <definedName name="_xlnm.Print_Titles" localSheetId="0">Gannt!$4:$6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11" l="1"/>
  <c r="I51" i="11"/>
  <c r="I52" i="11"/>
  <c r="I54" i="11"/>
  <c r="I56" i="11"/>
  <c r="I50" i="11"/>
  <c r="I49" i="11"/>
  <c r="I7" i="11"/>
  <c r="I15" i="11" l="1"/>
  <c r="J5" i="11" l="1"/>
  <c r="I46" i="11"/>
  <c r="I45" i="11"/>
  <c r="I44" i="11"/>
  <c r="I43" i="11"/>
  <c r="I40" i="11"/>
  <c r="I29" i="11"/>
  <c r="I21" i="11"/>
  <c r="I20" i="11"/>
  <c r="I16" i="11"/>
  <c r="I8" i="11"/>
  <c r="I9" i="11" l="1"/>
  <c r="J6" i="11"/>
  <c r="I30" i="11" l="1"/>
  <c r="I10" i="11"/>
  <c r="I17" i="11"/>
  <c r="K5" i="11"/>
  <c r="L5" i="11" s="1"/>
  <c r="M5" i="11" s="1"/>
  <c r="N5" i="11" s="1"/>
  <c r="O5" i="11" s="1"/>
  <c r="P5" i="11" s="1"/>
  <c r="Q5" i="11" s="1"/>
  <c r="J4" i="11"/>
  <c r="I25" i="11" l="1"/>
  <c r="I19" i="11"/>
  <c r="I11" i="11"/>
  <c r="Q4" i="1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BA5" i="11" l="1"/>
  <c r="AZ4" i="11"/>
  <c r="T6" i="11" s="1"/>
  <c r="AY6" i="11"/>
  <c r="U6" i="11"/>
  <c r="AZ6" i="11" l="1"/>
  <c r="BB5" i="11"/>
  <c r="BA6" i="11"/>
  <c r="V6" i="11"/>
  <c r="BB6" i="11" l="1"/>
  <c r="BC5" i="11"/>
  <c r="W6" i="11"/>
  <c r="BC6" i="11" l="1"/>
  <c r="BD5" i="11"/>
  <c r="X6" i="11"/>
  <c r="BD6" i="11" l="1"/>
  <c r="BE5" i="11"/>
  <c r="Y6" i="11"/>
  <c r="BF5" i="11" l="1"/>
  <c r="BE6" i="11"/>
  <c r="Z6" i="11"/>
  <c r="BF6" i="11" l="1"/>
  <c r="BG5" i="11"/>
  <c r="BG6" i="11" l="1"/>
  <c r="BH5" i="11"/>
  <c r="BG4" i="11"/>
  <c r="AA6" i="11" s="1"/>
  <c r="AB6" i="11"/>
  <c r="BH6" i="11" l="1"/>
  <c r="BI5" i="11"/>
  <c r="AC6" i="11"/>
  <c r="BJ5" i="11" l="1"/>
  <c r="BI6" i="11"/>
  <c r="AD6" i="11"/>
  <c r="BK5" i="11" l="1"/>
  <c r="BJ6" i="11"/>
  <c r="AE6" i="11"/>
  <c r="BL5" i="11" l="1"/>
  <c r="BK6" i="11"/>
  <c r="AF6" i="11"/>
  <c r="BM5" i="11" l="1"/>
  <c r="BN5" i="11" s="1"/>
  <c r="BL6" i="11"/>
  <c r="AG6" i="11"/>
  <c r="BN6" i="11" l="1"/>
  <c r="BO5" i="11"/>
  <c r="BN4" i="11"/>
  <c r="BM6" i="11"/>
  <c r="AH6" i="11"/>
  <c r="BP5" i="11" l="1"/>
  <c r="BO6" i="11"/>
  <c r="AI6" i="11"/>
  <c r="BQ5" i="11" l="1"/>
  <c r="BP6" i="11"/>
  <c r="AJ6" i="11"/>
  <c r="BR5" i="11" l="1"/>
  <c r="BQ6" i="11"/>
  <c r="AK6" i="11"/>
  <c r="BS5" i="11" l="1"/>
  <c r="BR6" i="11"/>
  <c r="AL6" i="11"/>
  <c r="BT5" i="11" l="1"/>
  <c r="BS6" i="11"/>
  <c r="AM6" i="11"/>
  <c r="BU5" i="11" l="1"/>
  <c r="BT6" i="11"/>
  <c r="AN6" i="11"/>
  <c r="BV5" i="11" l="1"/>
  <c r="BU4" i="11"/>
  <c r="BU6" i="11"/>
  <c r="AO6" i="11"/>
  <c r="BW5" i="11" l="1"/>
  <c r="BV6" i="11"/>
  <c r="AP6" i="11"/>
  <c r="BX5" i="11" l="1"/>
  <c r="BW6" i="11"/>
  <c r="AQ6" i="11"/>
  <c r="BY5" i="11" l="1"/>
  <c r="BX6" i="11"/>
  <c r="AR6" i="11"/>
  <c r="BZ5" i="11" l="1"/>
  <c r="BY6" i="11"/>
  <c r="AS6" i="11"/>
  <c r="CA5" i="11" l="1"/>
  <c r="BZ6" i="11"/>
  <c r="CB5" i="11" l="1"/>
  <c r="CA6" i="11"/>
  <c r="CC5" i="11" l="1"/>
  <c r="CB6" i="11"/>
  <c r="CB4" i="11"/>
  <c r="CD5" i="11" l="1"/>
  <c r="CC6" i="11"/>
  <c r="CE5" i="11" l="1"/>
  <c r="CD6" i="11"/>
  <c r="CF5" i="11" l="1"/>
  <c r="CE6" i="11"/>
  <c r="CG5" i="11" l="1"/>
  <c r="CF6" i="11"/>
  <c r="CH5" i="11" l="1"/>
  <c r="CG6" i="11"/>
  <c r="CI5" i="11" l="1"/>
  <c r="CH6" i="11"/>
  <c r="CI6" i="11" l="1"/>
  <c r="CJ5" i="11"/>
  <c r="CI4" i="11"/>
  <c r="CK5" i="11" l="1"/>
  <c r="CJ6" i="11"/>
  <c r="CL5" i="11" l="1"/>
  <c r="CK6" i="11"/>
  <c r="CM5" i="11" l="1"/>
  <c r="CL6" i="11"/>
  <c r="CN5" i="11" l="1"/>
  <c r="CM6" i="11"/>
  <c r="CO5" i="11" l="1"/>
  <c r="CN6" i="11"/>
  <c r="CP5" i="11" l="1"/>
  <c r="CO6" i="11"/>
  <c r="CQ5" i="11" l="1"/>
  <c r="CP4" i="11"/>
  <c r="CP6" i="11"/>
  <c r="CR5" i="11" l="1"/>
  <c r="CQ6" i="11"/>
  <c r="CS5" i="11" l="1"/>
  <c r="CR6" i="11"/>
  <c r="CT5" i="11" l="1"/>
  <c r="CS6" i="11"/>
  <c r="CU5" i="11" l="1"/>
  <c r="CT6" i="11"/>
  <c r="CV5" i="11" l="1"/>
  <c r="CV6" i="11" s="1"/>
  <c r="CU6" i="11"/>
</calcChain>
</file>

<file path=xl/sharedStrings.xml><?xml version="1.0" encoding="utf-8"?>
<sst xmlns="http://schemas.openxmlformats.org/spreadsheetml/2006/main" count="286" uniqueCount="167">
  <si>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</si>
  <si>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</si>
  <si>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</si>
  <si>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</si>
  <si>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</si>
  <si>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 xml:space="preserve">No elimine esta fila. Esta fila está oculta para conservar una fórmula que se usa para resaltar el día actual dentro de la programación del proyecto. </t>
  </si>
  <si>
    <t>TAREA</t>
  </si>
  <si>
    <t>Inicio del proyecto:</t>
  </si>
  <si>
    <t>Semana para mostrar:</t>
  </si>
  <si>
    <t>ASIGNADO
A</t>
  </si>
  <si>
    <t>PROGRESO</t>
  </si>
  <si>
    <t>INICIO</t>
  </si>
  <si>
    <t>FIN</t>
  </si>
  <si>
    <t>DÍAS</t>
  </si>
  <si>
    <t>Sebastián Miranda</t>
  </si>
  <si>
    <t>Matriz de riesgos</t>
  </si>
  <si>
    <t>Carta Gantt</t>
  </si>
  <si>
    <t>Fase 1 - Planificación Inicial</t>
  </si>
  <si>
    <t>MPV Web - Ingreso del vehiculo al taller</t>
  </si>
  <si>
    <t>PepsiCo</t>
  </si>
  <si>
    <t>Fase 2 - Análisis</t>
  </si>
  <si>
    <t>Redacción de requerimientos</t>
  </si>
  <si>
    <t>Trazar RF/RNF</t>
  </si>
  <si>
    <t>Fase 3 - Diseño</t>
  </si>
  <si>
    <t>Fase 4 - Construcción</t>
  </si>
  <si>
    <t>Desarrollo Base de Datos</t>
  </si>
  <si>
    <t>Vistas según usuario</t>
  </si>
  <si>
    <t>Búsqueda / filtros</t>
  </si>
  <si>
    <t>Datos de prueba</t>
  </si>
  <si>
    <t>Ajustes UX</t>
  </si>
  <si>
    <t>Desplegable mvp</t>
  </si>
  <si>
    <t>Guillermo</t>
  </si>
  <si>
    <t>Sebastián</t>
  </si>
  <si>
    <t>Guillermo / Sebastián</t>
  </si>
  <si>
    <t>Fase 5 - Pruebas</t>
  </si>
  <si>
    <t>Fase 6 - Implementación y capacitación</t>
  </si>
  <si>
    <t>Publicación web + accesos</t>
  </si>
  <si>
    <t>Usuario y administrador</t>
  </si>
  <si>
    <t>Redacción y firma</t>
  </si>
  <si>
    <t>Ordenar repositorio y entregar documentación</t>
  </si>
  <si>
    <t>Fase 7 - Cierre</t>
  </si>
  <si>
    <t>Sebastián / Guillermo</t>
  </si>
  <si>
    <t>ID</t>
  </si>
  <si>
    <t>1.1</t>
  </si>
  <si>
    <t>1.2</t>
  </si>
  <si>
    <t>1.3</t>
  </si>
  <si>
    <t>1.4</t>
  </si>
  <si>
    <t>1.5</t>
  </si>
  <si>
    <t>1.6</t>
  </si>
  <si>
    <t>2.1</t>
  </si>
  <si>
    <t>2.2</t>
  </si>
  <si>
    <t>3.1</t>
  </si>
  <si>
    <t>3.2</t>
  </si>
  <si>
    <t>3.3</t>
  </si>
  <si>
    <t>3.4</t>
  </si>
  <si>
    <t>3.5</t>
  </si>
  <si>
    <t>4.1</t>
  </si>
  <si>
    <t>4.2</t>
  </si>
  <si>
    <t>4.3</t>
  </si>
  <si>
    <t>4.4</t>
  </si>
  <si>
    <t>4.5</t>
  </si>
  <si>
    <t>4.6</t>
  </si>
  <si>
    <t>4.7</t>
  </si>
  <si>
    <t>5.1</t>
  </si>
  <si>
    <t>5.2</t>
  </si>
  <si>
    <t>5.3</t>
  </si>
  <si>
    <t>5.4</t>
  </si>
  <si>
    <t>5.5</t>
  </si>
  <si>
    <t>5.6</t>
  </si>
  <si>
    <t>6.1</t>
  </si>
  <si>
    <t>6.2</t>
  </si>
  <si>
    <t>7.1</t>
  </si>
  <si>
    <t>7.2</t>
  </si>
  <si>
    <t>HITO</t>
  </si>
  <si>
    <t>SI</t>
  </si>
  <si>
    <t>No</t>
  </si>
  <si>
    <t>Qué se hará</t>
  </si>
  <si>
    <t>Definir RACI</t>
  </si>
  <si>
    <t>Cargar tareas, duraciones, dependencias y responsables; marcar hitos y ruta crítica; publicar y definir rutina de actualización.</t>
  </si>
  <si>
    <t>Listar actividades clave y asignar R/A/C/I; resolver ambigüedades y publicar matriz validada.</t>
  </si>
  <si>
    <t>Identificar riesgos (técnicos, plazos, datos), valorar probabilidad/impacto, definir respuestas y dueños; abrir registro y plan de seguimiento.</t>
  </si>
  <si>
    <t>Escribir RF y RNF con identificadores, reglas de negocio y criterios de aceptación; consolidar con evidencia del levantamiento.</t>
  </si>
  <si>
    <t>Construir la matriz de trazabilidad RF/RNF ↔ casos de uso ↔ casos de prueba; detectar vacíos o inconsistencias y corregir.</t>
  </si>
  <si>
    <t>Modelar entidades (Vehículo, OT, Tarea, Evidencia, Usuario), definir claves/índices, relaciones y políticas de retención; preparar script/colecciones iniciales.</t>
  </si>
  <si>
    <t>Diagramar arquitectura (frontend, API, base de datos, almacenamiento de evidencias y autenticación) con flujos y controles de seguridad.</t>
  </si>
  <si>
    <t>Definir RBAC por rol y el flujo de URLs firmadas de subida/descarga a storage privado; documentar expiración, permisos y auditoría.</t>
  </si>
  <si>
    <t>Diseñar el alcance funcional de cada módulo (KPIs del tablero, estados de OT/tarea, metadatos de evidencias, consultas de reportes).</t>
  </si>
  <si>
    <t>Seleccionar escenarios representativos, preparar dataset semilla y definir casos de prueba base para validación temprana.</t>
  </si>
  <si>
    <t>Implementar esquema/colecciones, validaciones y seeds; crear vistas/consultas necesarias para reportes.</t>
  </si>
  <si>
    <t>Maquetar vistas base (login, dashboard, bitácora, OT/tareas), estados de carga/errores y navegación.</t>
  </si>
  <si>
    <t>Poblar ambiente con dataset realista (vehículos, OTs, tareas, evidencias) y scripts reproducibles.</t>
  </si>
  <si>
    <t>Corregir textos, tamaños, flujo de clics, accesibilidad y tiempos de carga percibida según feedback.</t>
  </si>
  <si>
    <t>Preparar build y variables; publicar FE/API; ejecutar pruebas de humo y definir plan de rollback/backups.</t>
  </si>
  <si>
    <t>Ejecutar casos por RF crítico, evidenciar resultados y registrar defectos con prioridad; re-test tras correcciones.</t>
  </si>
  <si>
    <t>Probar disponibilidad básica y reintentos; medir tiempos de respuesta y comportamiento ante fallas controladas.</t>
  </si>
  <si>
    <t>Probar RBAC, caducidad de token, acceso a evidencias por URL firmada, exposición de datos; documentar hallazgos.</t>
  </si>
  <si>
    <t>Instrumentar mediciones; obtener p50/p95 por vista/endpoint con dataset semilla; identificar y aplicar mejoras.</t>
  </si>
  <si>
    <t>Cerrar críticos/altos, re-test final, consolidar métricas y emitir informe de pruebas con estado del MVP.</t>
  </si>
  <si>
    <t>Entregar URL, crear usuarios iniciales y confirmar acceso por rol; checklist de humo en producción.</t>
  </si>
  <si>
    <t>Redactar manuales (usuario/administrador) con capturas y resolución de problemas frecuentes.</t>
  </si>
  <si>
    <t>Redactar acta de cierre con resultados, lecciones aprendidas y pendientes; obtener firmas y publicar.</t>
  </si>
  <si>
    <t>Estructurar carpetas por fases, subir versiones finales (PDF/ZIP), verificar enlaces/permisos y entregar índice maestro.</t>
  </si>
  <si>
    <t>Script inicial BBDD</t>
  </si>
  <si>
    <t>RBAC</t>
  </si>
  <si>
    <t>Mockups</t>
  </si>
  <si>
    <t>BPM</t>
  </si>
  <si>
    <t>3.6</t>
  </si>
  <si>
    <t>Diagrama Casos de Uso General</t>
  </si>
  <si>
    <t>Diagrama Casos de Uso Principales</t>
  </si>
  <si>
    <t>Diagrama E.R.</t>
  </si>
  <si>
    <t>Sebastian</t>
  </si>
  <si>
    <t>2.3</t>
  </si>
  <si>
    <t>3.7</t>
  </si>
  <si>
    <t>Acta de constitución</t>
  </si>
  <si>
    <t>Plan de Proyecto</t>
  </si>
  <si>
    <t xml:space="preserve">EDT </t>
  </si>
  <si>
    <t>Diccionario EDT</t>
  </si>
  <si>
    <t>Doc. Casos de uso</t>
  </si>
  <si>
    <t>1.3.1</t>
  </si>
  <si>
    <t xml:space="preserve">RACI </t>
  </si>
  <si>
    <t>Matriz de riesgos y Plan de comunicación</t>
  </si>
  <si>
    <t>3.8</t>
  </si>
  <si>
    <t>Plan de pruebas inicial</t>
  </si>
  <si>
    <t>Acta de cierre</t>
  </si>
  <si>
    <t>Manual Usuario y administrador</t>
  </si>
  <si>
    <t>Despliegue Final</t>
  </si>
  <si>
    <t>Correcciones; reporte de pruebas (0 críticos)</t>
  </si>
  <si>
    <t>Modulo Evidencia</t>
  </si>
  <si>
    <t>Modulo Analista</t>
  </si>
  <si>
    <t>Modulo OT</t>
  </si>
  <si>
    <t>Modulo Tarea</t>
  </si>
  <si>
    <t>4.2.1</t>
  </si>
  <si>
    <t>4.2.2</t>
  </si>
  <si>
    <t>4.2.3</t>
  </si>
  <si>
    <t>4.2.4</t>
  </si>
  <si>
    <t>4.2.5</t>
  </si>
  <si>
    <t>Modulo Administrador</t>
  </si>
  <si>
    <t>4.2.6</t>
  </si>
  <si>
    <t>Modulo Porteria</t>
  </si>
  <si>
    <t>Exportar Reportes CSV/PDF</t>
  </si>
  <si>
    <t>Datos de Prueba</t>
  </si>
  <si>
    <t>Pruebas Unitarias</t>
  </si>
  <si>
    <t>Pruebas Rendimiento Usuarios</t>
  </si>
  <si>
    <t>Pruebas Seguridad</t>
  </si>
  <si>
    <t>Pruebas Rendimiento Light House</t>
  </si>
  <si>
    <t>Desarrollo Frontend</t>
  </si>
  <si>
    <t>Desarrollo Backend API</t>
  </si>
  <si>
    <t>4.3.1</t>
  </si>
  <si>
    <t>4.3.2</t>
  </si>
  <si>
    <t>Pruebas de rendimiento Usuarios</t>
  </si>
  <si>
    <t>Pruebas de rendimiento Light House</t>
  </si>
  <si>
    <t>Correcciones; reportes de pruebas</t>
  </si>
  <si>
    <t>Implementar endpoints (registro por patente, OT, tareas, evidencia), validaciones, manejo de errores y pruebas con Postman. Conectar API a la base, parametrizar credenciales/variables de entorno y probar consultas con datos reales/semilla.</t>
  </si>
  <si>
    <t>Desarrollo API + BBDD</t>
  </si>
  <si>
    <t>Frontend Responsivo</t>
  </si>
  <si>
    <t>Implementar exportación de listados a CSV/PDF con formato legible y metadatos (fecha, filtro aplicado). Construir listados con totales/agrupaciones y parámetros (rango de fechas, área, estado); optimizar consultas.</t>
  </si>
  <si>
    <t>Exportación CSV/PDF Listados de reportes</t>
  </si>
  <si>
    <t>Modelado de Datos</t>
  </si>
  <si>
    <t>Diseño Seguridad</t>
  </si>
  <si>
    <t>Arquitectura FE/API/DB/Storage/Auth</t>
  </si>
  <si>
    <t>Plan de Pruebas Inicial</t>
  </si>
  <si>
    <t>Documentado Casos de Uso</t>
  </si>
  <si>
    <t>Construir los casos de uso generales y por actor.</t>
  </si>
  <si>
    <t>Desglosar el trabajo en niveles 1–3, asignar códigos WBS y vincular cada paquete con su entregable y responsable. Para cada paquete del EDT, documentar propósito, entradas/salidas, recursos, criterios de término y responsable.</t>
  </si>
  <si>
    <t>Esqueleto EDT y diccionario</t>
  </si>
  <si>
    <t>Delimitar el MVP (módulos, actores, lo que incluye/excluye), supuestos y restricciones; consensuarlo con usuarios clave y docente y dejar versión aprobada.        Redactar objetivo, justificación, alcance alto nivel, hitos, roles/autoridad, riesgos iniciales y presupuesto; circular, revisar y obtener firmas.</t>
  </si>
  <si>
    <t>Define cómo se organizará, ejecutará, supervisará y controlará el MVP de Ingreso a Taller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</si>
</sst>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2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14"/>
      <color rgb="FF00000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70"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11" applyNumberFormat="0" applyAlignment="0" applyProtection="0"/>
    <xf numFmtId="0" fontId="21" fillId="18" borderId="12" applyNumberFormat="0" applyAlignment="0" applyProtection="0"/>
    <xf numFmtId="0" fontId="22" fillId="18" borderId="11" applyNumberFormat="0" applyAlignment="0" applyProtection="0"/>
    <xf numFmtId="0" fontId="23" fillId="0" borderId="13" applyNumberFormat="0" applyFill="0" applyAlignment="0" applyProtection="0"/>
    <xf numFmtId="0" fontId="24" fillId="19" borderId="14" applyNumberFormat="0" applyAlignment="0" applyProtection="0"/>
    <xf numFmtId="0" fontId="25" fillId="0" borderId="0" applyNumberFormat="0" applyFill="0" applyBorder="0" applyAlignment="0" applyProtection="0"/>
    <xf numFmtId="0" fontId="7" fillId="20"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2"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2"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2"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2"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2"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12"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cellStyleXfs>
  <cellXfs count="8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2" fillId="0" borderId="0" xfId="3"/>
    <xf numFmtId="0" fontId="12"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8" borderId="2" xfId="11" applyFill="1">
      <alignment horizontal="center" vertical="center"/>
    </xf>
    <xf numFmtId="0" fontId="7" fillId="3" borderId="2" xfId="11" applyFill="1">
      <alignment horizontal="center" vertical="center"/>
    </xf>
    <xf numFmtId="0" fontId="7" fillId="9" borderId="2" xfId="11" applyFill="1">
      <alignment horizontal="center" vertical="center"/>
    </xf>
    <xf numFmtId="0" fontId="7" fillId="4" borderId="2" xfId="11" applyFill="1">
      <alignment horizontal="center" vertical="center"/>
    </xf>
    <xf numFmtId="0" fontId="7" fillId="6" borderId="2" xfId="11" applyFill="1">
      <alignment horizontal="center" vertical="center"/>
    </xf>
    <xf numFmtId="0" fontId="7" fillId="11"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3" borderId="2" xfId="12" applyFill="1">
      <alignment horizontal="left" vertical="center" indent="2"/>
    </xf>
    <xf numFmtId="0" fontId="7" fillId="4" borderId="2" xfId="12" applyFill="1">
      <alignment horizontal="left" vertical="center" indent="2"/>
    </xf>
    <xf numFmtId="0" fontId="7" fillId="11" borderId="2" xfId="12" applyFill="1">
      <alignment horizontal="left" vertical="center" indent="2"/>
    </xf>
    <xf numFmtId="0" fontId="7" fillId="10" borderId="2" xfId="12" applyFill="1">
      <alignment horizontal="left" vertical="center" indent="2"/>
    </xf>
    <xf numFmtId="0" fontId="0" fillId="0" borderId="10" xfId="0" applyBorder="1"/>
    <xf numFmtId="0" fontId="13" fillId="0" borderId="0" xfId="0" applyFont="1"/>
    <xf numFmtId="0" fontId="14" fillId="0" borderId="0" xfId="1" applyFont="1" applyProtection="1">
      <alignment vertical="top"/>
    </xf>
    <xf numFmtId="170" fontId="0" fillId="8" borderId="2" xfId="0" applyNumberFormat="1" applyFill="1" applyBorder="1" applyAlignment="1">
      <alignment horizontal="center" vertical="center"/>
    </xf>
    <xf numFmtId="170" fontId="4"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4"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4" fillId="6" borderId="2" xfId="0" applyNumberFormat="1" applyFont="1" applyFill="1" applyBorder="1" applyAlignment="1">
      <alignment horizontal="center" vertical="center"/>
    </xf>
    <xf numFmtId="170" fontId="7" fillId="11" borderId="2" xfId="10" applyFill="1">
      <alignment horizontal="center" vertical="center"/>
    </xf>
    <xf numFmtId="170" fontId="0" fillId="5" borderId="2" xfId="0" applyNumberFormat="1" applyFill="1" applyBorder="1" applyAlignment="1">
      <alignment horizontal="center" vertical="center"/>
    </xf>
    <xf numFmtId="170" fontId="4" fillId="5" borderId="2" xfId="0" applyNumberFormat="1" applyFont="1" applyFill="1" applyBorder="1" applyAlignment="1">
      <alignment horizontal="center" vertical="center"/>
    </xf>
    <xf numFmtId="171" fontId="9" fillId="7" borderId="6" xfId="0" applyNumberFormat="1" applyFont="1" applyFill="1" applyBorder="1" applyAlignment="1">
      <alignment horizontal="center" vertical="center"/>
    </xf>
    <xf numFmtId="171" fontId="9" fillId="7" borderId="0" xfId="0" applyNumberFormat="1" applyFont="1" applyFill="1" applyAlignment="1">
      <alignment horizontal="center" vertical="center"/>
    </xf>
    <xf numFmtId="171" fontId="9" fillId="7" borderId="7" xfId="0" applyNumberFormat="1" applyFont="1" applyFill="1" applyBorder="1" applyAlignment="1">
      <alignment horizontal="center" vertical="center"/>
    </xf>
    <xf numFmtId="170" fontId="7" fillId="3" borderId="2" xfId="10" applyFill="1">
      <alignment horizontal="center" vertical="center"/>
    </xf>
    <xf numFmtId="170" fontId="7" fillId="4" borderId="2" xfId="10" applyFill="1">
      <alignment horizontal="center" vertical="center"/>
    </xf>
    <xf numFmtId="170" fontId="7" fillId="10" borderId="2" xfId="10" applyFill="1">
      <alignment horizontal="center" vertical="center"/>
    </xf>
    <xf numFmtId="0" fontId="7" fillId="3" borderId="2" xfId="12" applyFill="1" applyAlignment="1">
      <alignment horizontal="left" vertical="center" wrapText="1" indent="2"/>
    </xf>
    <xf numFmtId="0" fontId="12" fillId="45" borderId="0" xfId="3" applyFill="1" applyAlignment="1">
      <alignment wrapText="1"/>
    </xf>
    <xf numFmtId="0" fontId="12" fillId="45" borderId="0" xfId="3" applyFill="1" applyAlignment="1">
      <alignment horizontal="center" wrapText="1"/>
    </xf>
    <xf numFmtId="0" fontId="5" fillId="9" borderId="2" xfId="0" applyFont="1" applyFill="1" applyBorder="1" applyAlignment="1">
      <alignment horizontal="left" vertical="center" wrapText="1" indent="1"/>
    </xf>
    <xf numFmtId="0" fontId="7" fillId="4" borderId="2" xfId="12" applyFill="1" applyAlignment="1">
      <alignment horizontal="left" vertical="center" wrapText="1" indent="2"/>
    </xf>
    <xf numFmtId="0" fontId="5" fillId="6" borderId="2" xfId="0" applyFont="1" applyFill="1" applyBorder="1" applyAlignment="1">
      <alignment horizontal="left" vertical="center" wrapText="1" indent="1"/>
    </xf>
    <xf numFmtId="0" fontId="7" fillId="11" borderId="2" xfId="12" applyFill="1" applyAlignment="1">
      <alignment horizontal="left" vertical="center" wrapText="1" indent="2"/>
    </xf>
    <xf numFmtId="0" fontId="5" fillId="5" borderId="2" xfId="0" applyFont="1" applyFill="1" applyBorder="1" applyAlignment="1">
      <alignment horizontal="left" vertical="center" wrapText="1" indent="1"/>
    </xf>
    <xf numFmtId="0" fontId="7" fillId="10" borderId="2" xfId="12" applyFill="1" applyAlignment="1">
      <alignment horizontal="left" vertical="center" wrapText="1" indent="2"/>
    </xf>
    <xf numFmtId="0" fontId="5" fillId="8" borderId="2" xfId="0" applyFont="1" applyFill="1" applyBorder="1" applyAlignment="1">
      <alignment horizontal="left" vertical="center" wrapText="1" indent="1"/>
    </xf>
    <xf numFmtId="0" fontId="0" fillId="0" borderId="17" xfId="0" applyBorder="1"/>
    <xf numFmtId="0" fontId="0" fillId="0" borderId="17" xfId="0" applyBorder="1" applyAlignment="1">
      <alignment wrapText="1"/>
    </xf>
    <xf numFmtId="0" fontId="28" fillId="45" borderId="17" xfId="0" applyFont="1" applyFill="1" applyBorder="1"/>
    <xf numFmtId="0" fontId="28" fillId="45" borderId="17" xfId="0" applyFont="1" applyFill="1" applyBorder="1" applyAlignment="1">
      <alignment wrapText="1"/>
    </xf>
    <xf numFmtId="0" fontId="7" fillId="0" borderId="0" xfId="8">
      <alignment horizontal="right" indent="1"/>
    </xf>
    <xf numFmtId="0" fontId="7"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8" fontId="7"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8">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V56"/>
  <sheetViews>
    <sheetView showGridLines="0" tabSelected="1" showRuler="0" zoomScale="55" zoomScaleNormal="55" zoomScalePageLayoutView="70" workbookViewId="0">
      <pane ySplit="6" topLeftCell="A7" activePane="bottomLeft" state="frozen"/>
      <selection pane="bottomLeft" activeCell="AL4" sqref="AL4:AR4"/>
    </sheetView>
  </sheetViews>
  <sheetFormatPr baseColWidth="10" defaultColWidth="9.140625" defaultRowHeight="30" customHeight="1" x14ac:dyDescent="0.25"/>
  <cols>
    <col min="1" max="1" width="6.5703125" style="28" customWidth="1"/>
    <col min="2" max="2" width="36.5703125" customWidth="1"/>
    <col min="3" max="3" width="10.28515625" customWidth="1"/>
    <col min="4" max="4" width="30.7109375" customWidth="1"/>
    <col min="5" max="5" width="10.7109375" customWidth="1"/>
    <col min="6" max="6" width="10.42578125" style="5" customWidth="1"/>
    <col min="7" max="7" width="10.42578125" customWidth="1"/>
    <col min="8" max="8" width="2.7109375" hidden="1" customWidth="1"/>
    <col min="9" max="9" width="7.7109375" bestFit="1" customWidth="1"/>
    <col min="10" max="10" width="2" bestFit="1" customWidth="1"/>
    <col min="11" max="15" width="2.28515625" bestFit="1" customWidth="1"/>
    <col min="16" max="16" width="14" customWidth="1"/>
    <col min="17" max="18" width="2.28515625" bestFit="1" customWidth="1"/>
    <col min="19" max="19" width="3" bestFit="1" customWidth="1"/>
    <col min="20" max="20" width="2.7109375" bestFit="1" customWidth="1"/>
    <col min="21" max="22" width="3" bestFit="1" customWidth="1"/>
    <col min="23" max="23" width="10.28515625" customWidth="1"/>
    <col min="24" max="28" width="3" bestFit="1" customWidth="1"/>
    <col min="29" max="29" width="3.28515625" bestFit="1" customWidth="1"/>
    <col min="30" max="30" width="11" customWidth="1"/>
    <col min="31" max="36" width="3.28515625" bestFit="1" customWidth="1"/>
    <col min="37" max="37" width="12.140625" customWidth="1"/>
    <col min="38" max="39" width="3.28515625" bestFit="1" customWidth="1"/>
    <col min="40" max="43" width="2.28515625" bestFit="1" customWidth="1"/>
    <col min="44" max="44" width="16.28515625" customWidth="1"/>
    <col min="45" max="50" width="3.28515625" customWidth="1"/>
    <col min="51" max="51" width="4.140625" customWidth="1"/>
    <col min="52" max="57" width="3.28515625" customWidth="1"/>
    <col min="58" max="58" width="5.5703125" customWidth="1"/>
    <col min="59" max="64" width="3.28515625" customWidth="1"/>
    <col min="65" max="65" width="7.140625" customWidth="1"/>
    <col min="70" max="71" width="10.28515625"/>
  </cols>
  <sheetData>
    <row r="1" spans="1:100" ht="30" customHeight="1" x14ac:dyDescent="0.45">
      <c r="A1" s="29" t="s">
        <v>0</v>
      </c>
      <c r="B1" s="31" t="s">
        <v>18</v>
      </c>
      <c r="C1" s="31"/>
      <c r="D1" s="1"/>
      <c r="E1" s="2"/>
      <c r="F1" s="4"/>
      <c r="G1" s="27"/>
      <c r="I1" s="2"/>
      <c r="J1" s="47"/>
    </row>
    <row r="2" spans="1:100" ht="30" customHeight="1" x14ac:dyDescent="0.3">
      <c r="A2" s="28" t="s">
        <v>1</v>
      </c>
      <c r="B2" s="32" t="s">
        <v>19</v>
      </c>
      <c r="C2" s="32"/>
      <c r="J2" s="48"/>
    </row>
    <row r="3" spans="1:100" ht="30" customHeight="1" x14ac:dyDescent="0.25">
      <c r="A3" s="28" t="s">
        <v>2</v>
      </c>
      <c r="B3" s="33"/>
      <c r="C3" s="33"/>
      <c r="D3" s="78" t="s">
        <v>7</v>
      </c>
      <c r="E3" s="79"/>
      <c r="F3" s="83">
        <v>45902</v>
      </c>
      <c r="G3" s="83"/>
    </row>
    <row r="4" spans="1:100" ht="30" customHeight="1" x14ac:dyDescent="0.25">
      <c r="A4" s="29" t="s">
        <v>3</v>
      </c>
      <c r="D4" s="78" t="s">
        <v>8</v>
      </c>
      <c r="E4" s="79"/>
      <c r="F4" s="6">
        <v>1</v>
      </c>
      <c r="J4" s="80">
        <f>J5</f>
        <v>45901</v>
      </c>
      <c r="K4" s="81"/>
      <c r="L4" s="81"/>
      <c r="M4" s="81"/>
      <c r="N4" s="81"/>
      <c r="O4" s="81"/>
      <c r="P4" s="82"/>
      <c r="Q4" s="80">
        <f>Q5</f>
        <v>45908</v>
      </c>
      <c r="R4" s="81"/>
      <c r="S4" s="81"/>
      <c r="T4" s="81"/>
      <c r="U4" s="81"/>
      <c r="V4" s="81"/>
      <c r="W4" s="82"/>
      <c r="X4" s="80">
        <f>X5</f>
        <v>45915</v>
      </c>
      <c r="Y4" s="81"/>
      <c r="Z4" s="81"/>
      <c r="AA4" s="81"/>
      <c r="AB4" s="81"/>
      <c r="AC4" s="81"/>
      <c r="AD4" s="82"/>
      <c r="AE4" s="80">
        <f>AE5</f>
        <v>45922</v>
      </c>
      <c r="AF4" s="81"/>
      <c r="AG4" s="81"/>
      <c r="AH4" s="81"/>
      <c r="AI4" s="81"/>
      <c r="AJ4" s="81"/>
      <c r="AK4" s="82"/>
      <c r="AL4" s="80">
        <f>AL5</f>
        <v>45929</v>
      </c>
      <c r="AM4" s="81"/>
      <c r="AN4" s="81"/>
      <c r="AO4" s="81"/>
      <c r="AP4" s="81"/>
      <c r="AQ4" s="81"/>
      <c r="AR4" s="82"/>
      <c r="AS4" s="80">
        <f>AS5</f>
        <v>45936</v>
      </c>
      <c r="AT4" s="81"/>
      <c r="AU4" s="81"/>
      <c r="AV4" s="81"/>
      <c r="AW4" s="81"/>
      <c r="AX4" s="81"/>
      <c r="AY4" s="82"/>
      <c r="AZ4" s="80">
        <f>AZ5</f>
        <v>45943</v>
      </c>
      <c r="BA4" s="81"/>
      <c r="BB4" s="81"/>
      <c r="BC4" s="81"/>
      <c r="BD4" s="81"/>
      <c r="BE4" s="81"/>
      <c r="BF4" s="82"/>
      <c r="BG4" s="80">
        <f>BG5</f>
        <v>45950</v>
      </c>
      <c r="BH4" s="81"/>
      <c r="BI4" s="81"/>
      <c r="BJ4" s="81"/>
      <c r="BK4" s="81"/>
      <c r="BL4" s="81"/>
      <c r="BM4" s="82"/>
      <c r="BN4" s="80">
        <f t="shared" ref="BN4" si="0">BN5</f>
        <v>45957</v>
      </c>
      <c r="BO4" s="81"/>
      <c r="BP4" s="81"/>
      <c r="BQ4" s="81"/>
      <c r="BR4" s="81"/>
      <c r="BS4" s="81"/>
      <c r="BT4" s="82"/>
      <c r="BU4" s="80">
        <f t="shared" ref="BU4" si="1">BU5</f>
        <v>45964</v>
      </c>
      <c r="BV4" s="81"/>
      <c r="BW4" s="81"/>
      <c r="BX4" s="81"/>
      <c r="BY4" s="81"/>
      <c r="BZ4" s="81"/>
      <c r="CA4" s="82"/>
      <c r="CB4" s="80">
        <f t="shared" ref="CB4" si="2">CB5</f>
        <v>45971</v>
      </c>
      <c r="CC4" s="81"/>
      <c r="CD4" s="81"/>
      <c r="CE4" s="81"/>
      <c r="CF4" s="81"/>
      <c r="CG4" s="81"/>
      <c r="CH4" s="82"/>
      <c r="CI4" s="80">
        <f t="shared" ref="CI4" si="3">CI5</f>
        <v>45978</v>
      </c>
      <c r="CJ4" s="81"/>
      <c r="CK4" s="81"/>
      <c r="CL4" s="81"/>
      <c r="CM4" s="81"/>
      <c r="CN4" s="81"/>
      <c r="CO4" s="82"/>
      <c r="CP4" s="80">
        <f t="shared" ref="CP4" si="4">CP5</f>
        <v>45985</v>
      </c>
      <c r="CQ4" s="81"/>
      <c r="CR4" s="81"/>
      <c r="CS4" s="81"/>
      <c r="CT4" s="81"/>
      <c r="CU4" s="81"/>
      <c r="CV4" s="82"/>
    </row>
    <row r="5" spans="1:100" ht="15" customHeight="1" x14ac:dyDescent="0.25">
      <c r="A5" s="29" t="s">
        <v>4</v>
      </c>
      <c r="B5" s="46"/>
      <c r="C5" s="46"/>
      <c r="D5" s="46"/>
      <c r="E5" s="46"/>
      <c r="F5" s="46"/>
      <c r="G5" s="46"/>
      <c r="H5" s="46"/>
      <c r="J5" s="58">
        <f>Inicio_del_proyecto-WEEKDAY(Inicio_del_proyecto,1)+2+7*(Semana_para_mostrar-1)</f>
        <v>45901</v>
      </c>
      <c r="K5" s="59">
        <f>J5+1</f>
        <v>45902</v>
      </c>
      <c r="L5" s="59">
        <f t="shared" ref="L5:AY5" si="5">K5+1</f>
        <v>45903</v>
      </c>
      <c r="M5" s="59">
        <f t="shared" si="5"/>
        <v>45904</v>
      </c>
      <c r="N5" s="59">
        <f t="shared" si="5"/>
        <v>45905</v>
      </c>
      <c r="O5" s="59">
        <f t="shared" si="5"/>
        <v>45906</v>
      </c>
      <c r="P5" s="60">
        <f t="shared" si="5"/>
        <v>45907</v>
      </c>
      <c r="Q5" s="58">
        <f>P5+1</f>
        <v>45908</v>
      </c>
      <c r="R5" s="59">
        <f>Q5+1</f>
        <v>45909</v>
      </c>
      <c r="S5" s="59">
        <f t="shared" si="5"/>
        <v>45910</v>
      </c>
      <c r="T5" s="59">
        <f t="shared" si="5"/>
        <v>45911</v>
      </c>
      <c r="U5" s="59">
        <f t="shared" si="5"/>
        <v>45912</v>
      </c>
      <c r="V5" s="59">
        <f t="shared" si="5"/>
        <v>45913</v>
      </c>
      <c r="W5" s="60">
        <f t="shared" si="5"/>
        <v>45914</v>
      </c>
      <c r="X5" s="58">
        <f>W5+1</f>
        <v>45915</v>
      </c>
      <c r="Y5" s="59">
        <f>X5+1</f>
        <v>45916</v>
      </c>
      <c r="Z5" s="59">
        <f t="shared" si="5"/>
        <v>45917</v>
      </c>
      <c r="AA5" s="59">
        <f t="shared" si="5"/>
        <v>45918</v>
      </c>
      <c r="AB5" s="59">
        <f t="shared" si="5"/>
        <v>45919</v>
      </c>
      <c r="AC5" s="59">
        <f t="shared" si="5"/>
        <v>45920</v>
      </c>
      <c r="AD5" s="60">
        <f t="shared" si="5"/>
        <v>45921</v>
      </c>
      <c r="AE5" s="58">
        <f>AD5+1</f>
        <v>45922</v>
      </c>
      <c r="AF5" s="59">
        <f>AE5+1</f>
        <v>45923</v>
      </c>
      <c r="AG5" s="59">
        <f t="shared" si="5"/>
        <v>45924</v>
      </c>
      <c r="AH5" s="59">
        <f t="shared" si="5"/>
        <v>45925</v>
      </c>
      <c r="AI5" s="59">
        <f t="shared" si="5"/>
        <v>45926</v>
      </c>
      <c r="AJ5" s="59">
        <f t="shared" si="5"/>
        <v>45927</v>
      </c>
      <c r="AK5" s="60">
        <f t="shared" si="5"/>
        <v>45928</v>
      </c>
      <c r="AL5" s="58">
        <f>AK5+1</f>
        <v>45929</v>
      </c>
      <c r="AM5" s="59">
        <f>AL5+1</f>
        <v>45930</v>
      </c>
      <c r="AN5" s="59">
        <f t="shared" si="5"/>
        <v>45931</v>
      </c>
      <c r="AO5" s="59">
        <f t="shared" si="5"/>
        <v>45932</v>
      </c>
      <c r="AP5" s="59">
        <f t="shared" si="5"/>
        <v>45933</v>
      </c>
      <c r="AQ5" s="59">
        <f t="shared" si="5"/>
        <v>45934</v>
      </c>
      <c r="AR5" s="60">
        <f t="shared" si="5"/>
        <v>45935</v>
      </c>
      <c r="AS5" s="58">
        <f>AR5+1</f>
        <v>45936</v>
      </c>
      <c r="AT5" s="59">
        <f>AS5+1</f>
        <v>45937</v>
      </c>
      <c r="AU5" s="59">
        <f t="shared" si="5"/>
        <v>45938</v>
      </c>
      <c r="AV5" s="59">
        <f t="shared" si="5"/>
        <v>45939</v>
      </c>
      <c r="AW5" s="59">
        <f t="shared" si="5"/>
        <v>45940</v>
      </c>
      <c r="AX5" s="59">
        <f t="shared" si="5"/>
        <v>45941</v>
      </c>
      <c r="AY5" s="60">
        <f t="shared" si="5"/>
        <v>45942</v>
      </c>
      <c r="AZ5" s="58">
        <f>AY5+1</f>
        <v>45943</v>
      </c>
      <c r="BA5" s="59">
        <f>AZ5+1</f>
        <v>45944</v>
      </c>
      <c r="BB5" s="59">
        <f t="shared" ref="BB5:BF5" si="6">BA5+1</f>
        <v>45945</v>
      </c>
      <c r="BC5" s="59">
        <f t="shared" si="6"/>
        <v>45946</v>
      </c>
      <c r="BD5" s="59">
        <f t="shared" si="6"/>
        <v>45947</v>
      </c>
      <c r="BE5" s="59">
        <f t="shared" si="6"/>
        <v>45948</v>
      </c>
      <c r="BF5" s="60">
        <f t="shared" si="6"/>
        <v>45949</v>
      </c>
      <c r="BG5" s="58">
        <f>BF5+1</f>
        <v>45950</v>
      </c>
      <c r="BH5" s="59">
        <f>BG5+1</f>
        <v>45951</v>
      </c>
      <c r="BI5" s="59">
        <f t="shared" ref="BI5:BM5" si="7">BH5+1</f>
        <v>45952</v>
      </c>
      <c r="BJ5" s="59">
        <f t="shared" si="7"/>
        <v>45953</v>
      </c>
      <c r="BK5" s="59">
        <f t="shared" si="7"/>
        <v>45954</v>
      </c>
      <c r="BL5" s="59">
        <f t="shared" si="7"/>
        <v>45955</v>
      </c>
      <c r="BM5" s="60">
        <f t="shared" si="7"/>
        <v>45956</v>
      </c>
      <c r="BN5" s="60">
        <f t="shared" ref="BN5" si="8">BM5+1</f>
        <v>45957</v>
      </c>
      <c r="BO5" s="60">
        <f t="shared" ref="BO5" si="9">BN5+1</f>
        <v>45958</v>
      </c>
      <c r="BP5" s="60">
        <f t="shared" ref="BP5" si="10">BO5+1</f>
        <v>45959</v>
      </c>
      <c r="BQ5" s="60">
        <f t="shared" ref="BQ5" si="11">BP5+1</f>
        <v>45960</v>
      </c>
      <c r="BR5" s="60">
        <f t="shared" ref="BR5" si="12">BQ5+1</f>
        <v>45961</v>
      </c>
      <c r="BS5" s="60">
        <f t="shared" ref="BS5" si="13">BR5+1</f>
        <v>45962</v>
      </c>
      <c r="BT5" s="60">
        <f t="shared" ref="BT5" si="14">BS5+1</f>
        <v>45963</v>
      </c>
      <c r="BU5" s="60">
        <f t="shared" ref="BU5" si="15">BT5+1</f>
        <v>45964</v>
      </c>
      <c r="BV5" s="60">
        <f t="shared" ref="BV5" si="16">BU5+1</f>
        <v>45965</v>
      </c>
      <c r="BW5" s="60">
        <f t="shared" ref="BW5" si="17">BV5+1</f>
        <v>45966</v>
      </c>
      <c r="BX5" s="60">
        <f t="shared" ref="BX5" si="18">BW5+1</f>
        <v>45967</v>
      </c>
      <c r="BY5" s="60">
        <f t="shared" ref="BY5" si="19">BX5+1</f>
        <v>45968</v>
      </c>
      <c r="BZ5" s="60">
        <f t="shared" ref="BZ5" si="20">BY5+1</f>
        <v>45969</v>
      </c>
      <c r="CA5" s="60">
        <f t="shared" ref="CA5" si="21">BZ5+1</f>
        <v>45970</v>
      </c>
      <c r="CB5" s="60">
        <f t="shared" ref="CB5" si="22">CA5+1</f>
        <v>45971</v>
      </c>
      <c r="CC5" s="60">
        <f t="shared" ref="CC5" si="23">CB5+1</f>
        <v>45972</v>
      </c>
      <c r="CD5" s="60">
        <f t="shared" ref="CD5" si="24">CC5+1</f>
        <v>45973</v>
      </c>
      <c r="CE5" s="60">
        <f t="shared" ref="CE5" si="25">CD5+1</f>
        <v>45974</v>
      </c>
      <c r="CF5" s="60">
        <f t="shared" ref="CF5" si="26">CE5+1</f>
        <v>45975</v>
      </c>
      <c r="CG5" s="60">
        <f t="shared" ref="CG5" si="27">CF5+1</f>
        <v>45976</v>
      </c>
      <c r="CH5" s="60">
        <f t="shared" ref="CH5" si="28">CG5+1</f>
        <v>45977</v>
      </c>
      <c r="CI5" s="60">
        <f t="shared" ref="CI5" si="29">CH5+1</f>
        <v>45978</v>
      </c>
      <c r="CJ5" s="60">
        <f t="shared" ref="CJ5" si="30">CI5+1</f>
        <v>45979</v>
      </c>
      <c r="CK5" s="60">
        <f t="shared" ref="CK5" si="31">CJ5+1</f>
        <v>45980</v>
      </c>
      <c r="CL5" s="60">
        <f t="shared" ref="CL5" si="32">CK5+1</f>
        <v>45981</v>
      </c>
      <c r="CM5" s="60">
        <f t="shared" ref="CM5" si="33">CL5+1</f>
        <v>45982</v>
      </c>
      <c r="CN5" s="60">
        <f t="shared" ref="CN5" si="34">CM5+1</f>
        <v>45983</v>
      </c>
      <c r="CO5" s="60">
        <f t="shared" ref="CO5" si="35">CN5+1</f>
        <v>45984</v>
      </c>
      <c r="CP5" s="60">
        <f t="shared" ref="CP5" si="36">CO5+1</f>
        <v>45985</v>
      </c>
      <c r="CQ5" s="60">
        <f t="shared" ref="CQ5" si="37">CP5+1</f>
        <v>45986</v>
      </c>
      <c r="CR5" s="60">
        <f t="shared" ref="CR5" si="38">CQ5+1</f>
        <v>45987</v>
      </c>
      <c r="CS5" s="60">
        <f t="shared" ref="CS5" si="39">CR5+1</f>
        <v>45988</v>
      </c>
      <c r="CT5" s="60">
        <f t="shared" ref="CT5" si="40">CS5+1</f>
        <v>45989</v>
      </c>
      <c r="CU5" s="60">
        <f t="shared" ref="CU5" si="41">CT5+1</f>
        <v>45990</v>
      </c>
      <c r="CV5" s="60">
        <f t="shared" ref="CV5" si="42">CU5+1</f>
        <v>45991</v>
      </c>
    </row>
    <row r="6" spans="1:100" ht="24.75" thickBot="1" x14ac:dyDescent="0.3">
      <c r="A6" s="7" t="s">
        <v>42</v>
      </c>
      <c r="B6" s="7" t="s">
        <v>6</v>
      </c>
      <c r="C6" s="7" t="s">
        <v>73</v>
      </c>
      <c r="D6" s="8" t="s">
        <v>9</v>
      </c>
      <c r="E6" s="8" t="s">
        <v>10</v>
      </c>
      <c r="F6" s="8" t="s">
        <v>11</v>
      </c>
      <c r="G6" s="8" t="s">
        <v>12</v>
      </c>
      <c r="H6" s="8"/>
      <c r="I6" s="8" t="s">
        <v>13</v>
      </c>
      <c r="J6" s="9" t="str">
        <f t="shared" ref="J6" si="43">LEFT(TEXT(J5,"ddd"),1)</f>
        <v>l</v>
      </c>
      <c r="K6" s="9" t="str">
        <f t="shared" ref="K6:AS6" si="44">LEFT(TEXT(K5,"ddd"),1)</f>
        <v>m</v>
      </c>
      <c r="L6" s="9" t="str">
        <f t="shared" si="44"/>
        <v>m</v>
      </c>
      <c r="M6" s="9" t="str">
        <f t="shared" si="44"/>
        <v>j</v>
      </c>
      <c r="N6" s="9" t="str">
        <f t="shared" si="44"/>
        <v>v</v>
      </c>
      <c r="O6" s="9" t="str">
        <f t="shared" si="44"/>
        <v>s</v>
      </c>
      <c r="P6" s="9" t="str">
        <f t="shared" si="44"/>
        <v>d</v>
      </c>
      <c r="Q6" s="9" t="str">
        <f t="shared" si="44"/>
        <v>l</v>
      </c>
      <c r="R6" s="9" t="str">
        <f t="shared" si="44"/>
        <v>m</v>
      </c>
      <c r="S6" s="9" t="str">
        <f t="shared" si="44"/>
        <v>m</v>
      </c>
      <c r="T6" s="9" t="str">
        <f t="shared" si="44"/>
        <v>j</v>
      </c>
      <c r="U6" s="9" t="str">
        <f t="shared" si="44"/>
        <v>v</v>
      </c>
      <c r="V6" s="9" t="str">
        <f t="shared" si="44"/>
        <v>s</v>
      </c>
      <c r="W6" s="9" t="str">
        <f t="shared" si="44"/>
        <v>d</v>
      </c>
      <c r="X6" s="9" t="str">
        <f t="shared" si="44"/>
        <v>l</v>
      </c>
      <c r="Y6" s="9" t="str">
        <f t="shared" si="44"/>
        <v>m</v>
      </c>
      <c r="Z6" s="9" t="str">
        <f t="shared" si="44"/>
        <v>m</v>
      </c>
      <c r="AA6" s="9" t="str">
        <f t="shared" si="44"/>
        <v>j</v>
      </c>
      <c r="AB6" s="9" t="str">
        <f t="shared" si="44"/>
        <v>v</v>
      </c>
      <c r="AC6" s="9" t="str">
        <f t="shared" si="44"/>
        <v>s</v>
      </c>
      <c r="AD6" s="9" t="str">
        <f t="shared" si="44"/>
        <v>d</v>
      </c>
      <c r="AE6" s="9" t="str">
        <f t="shared" si="44"/>
        <v>l</v>
      </c>
      <c r="AF6" s="9" t="str">
        <f t="shared" si="44"/>
        <v>m</v>
      </c>
      <c r="AG6" s="9" t="str">
        <f t="shared" si="44"/>
        <v>m</v>
      </c>
      <c r="AH6" s="9" t="str">
        <f t="shared" si="44"/>
        <v>j</v>
      </c>
      <c r="AI6" s="9" t="str">
        <f t="shared" si="44"/>
        <v>v</v>
      </c>
      <c r="AJ6" s="9" t="str">
        <f t="shared" si="44"/>
        <v>s</v>
      </c>
      <c r="AK6" s="9" t="str">
        <f t="shared" si="44"/>
        <v>d</v>
      </c>
      <c r="AL6" s="9" t="str">
        <f t="shared" si="44"/>
        <v>l</v>
      </c>
      <c r="AM6" s="9" t="str">
        <f t="shared" si="44"/>
        <v>m</v>
      </c>
      <c r="AN6" s="9" t="str">
        <f t="shared" si="44"/>
        <v>m</v>
      </c>
      <c r="AO6" s="9" t="str">
        <f t="shared" si="44"/>
        <v>j</v>
      </c>
      <c r="AP6" s="9" t="str">
        <f t="shared" si="44"/>
        <v>v</v>
      </c>
      <c r="AQ6" s="9" t="str">
        <f t="shared" si="44"/>
        <v>s</v>
      </c>
      <c r="AR6" s="9" t="str">
        <f t="shared" si="44"/>
        <v>d</v>
      </c>
      <c r="AS6" s="9" t="str">
        <f t="shared" si="44"/>
        <v>l</v>
      </c>
      <c r="AT6" s="9" t="str">
        <f t="shared" ref="AT6:CV6" si="45">LEFT(TEXT(AT5,"ddd"),1)</f>
        <v>m</v>
      </c>
      <c r="AU6" s="9" t="str">
        <f t="shared" si="45"/>
        <v>m</v>
      </c>
      <c r="AV6" s="9" t="str">
        <f t="shared" si="45"/>
        <v>j</v>
      </c>
      <c r="AW6" s="9" t="str">
        <f t="shared" si="45"/>
        <v>v</v>
      </c>
      <c r="AX6" s="9" t="str">
        <f t="shared" si="45"/>
        <v>s</v>
      </c>
      <c r="AY6" s="9" t="str">
        <f t="shared" si="45"/>
        <v>d</v>
      </c>
      <c r="AZ6" s="9" t="str">
        <f t="shared" si="45"/>
        <v>l</v>
      </c>
      <c r="BA6" s="9" t="str">
        <f t="shared" si="45"/>
        <v>m</v>
      </c>
      <c r="BB6" s="9" t="str">
        <f t="shared" si="45"/>
        <v>m</v>
      </c>
      <c r="BC6" s="9" t="str">
        <f t="shared" si="45"/>
        <v>j</v>
      </c>
      <c r="BD6" s="9" t="str">
        <f t="shared" si="45"/>
        <v>v</v>
      </c>
      <c r="BE6" s="9" t="str">
        <f t="shared" si="45"/>
        <v>s</v>
      </c>
      <c r="BF6" s="9" t="str">
        <f t="shared" si="45"/>
        <v>d</v>
      </c>
      <c r="BG6" s="9" t="str">
        <f t="shared" si="45"/>
        <v>l</v>
      </c>
      <c r="BH6" s="9" t="str">
        <f t="shared" si="45"/>
        <v>m</v>
      </c>
      <c r="BI6" s="9" t="str">
        <f t="shared" si="45"/>
        <v>m</v>
      </c>
      <c r="BJ6" s="9" t="str">
        <f t="shared" si="45"/>
        <v>j</v>
      </c>
      <c r="BK6" s="9" t="str">
        <f t="shared" si="45"/>
        <v>v</v>
      </c>
      <c r="BL6" s="9" t="str">
        <f t="shared" si="45"/>
        <v>s</v>
      </c>
      <c r="BM6" s="9" t="str">
        <f t="shared" si="45"/>
        <v>d</v>
      </c>
      <c r="BN6" s="9" t="str">
        <f t="shared" si="45"/>
        <v>l</v>
      </c>
      <c r="BO6" s="9" t="str">
        <f t="shared" si="45"/>
        <v>m</v>
      </c>
      <c r="BP6" s="9" t="str">
        <f t="shared" si="45"/>
        <v>m</v>
      </c>
      <c r="BQ6" s="9" t="str">
        <f t="shared" si="45"/>
        <v>j</v>
      </c>
      <c r="BR6" s="9" t="str">
        <f t="shared" si="45"/>
        <v>v</v>
      </c>
      <c r="BS6" s="9" t="str">
        <f t="shared" si="45"/>
        <v>s</v>
      </c>
      <c r="BT6" s="9" t="str">
        <f t="shared" si="45"/>
        <v>d</v>
      </c>
      <c r="BU6" s="9" t="str">
        <f t="shared" si="45"/>
        <v>l</v>
      </c>
      <c r="BV6" s="9" t="str">
        <f t="shared" si="45"/>
        <v>m</v>
      </c>
      <c r="BW6" s="9" t="str">
        <f t="shared" si="45"/>
        <v>m</v>
      </c>
      <c r="BX6" s="9" t="str">
        <f t="shared" si="45"/>
        <v>j</v>
      </c>
      <c r="BY6" s="9" t="str">
        <f t="shared" si="45"/>
        <v>v</v>
      </c>
      <c r="BZ6" s="9" t="str">
        <f t="shared" si="45"/>
        <v>s</v>
      </c>
      <c r="CA6" s="9" t="str">
        <f t="shared" si="45"/>
        <v>d</v>
      </c>
      <c r="CB6" s="9" t="str">
        <f t="shared" si="45"/>
        <v>l</v>
      </c>
      <c r="CC6" s="9" t="str">
        <f t="shared" si="45"/>
        <v>m</v>
      </c>
      <c r="CD6" s="9" t="str">
        <f t="shared" si="45"/>
        <v>m</v>
      </c>
      <c r="CE6" s="9" t="str">
        <f t="shared" si="45"/>
        <v>j</v>
      </c>
      <c r="CF6" s="9" t="str">
        <f t="shared" si="45"/>
        <v>v</v>
      </c>
      <c r="CG6" s="9" t="str">
        <f t="shared" si="45"/>
        <v>s</v>
      </c>
      <c r="CH6" s="9" t="str">
        <f t="shared" si="45"/>
        <v>d</v>
      </c>
      <c r="CI6" s="9" t="str">
        <f t="shared" si="45"/>
        <v>l</v>
      </c>
      <c r="CJ6" s="9" t="str">
        <f t="shared" si="45"/>
        <v>m</v>
      </c>
      <c r="CK6" s="9" t="str">
        <f t="shared" si="45"/>
        <v>m</v>
      </c>
      <c r="CL6" s="9" t="str">
        <f t="shared" si="45"/>
        <v>j</v>
      </c>
      <c r="CM6" s="9" t="str">
        <f t="shared" si="45"/>
        <v>v</v>
      </c>
      <c r="CN6" s="9" t="str">
        <f t="shared" si="45"/>
        <v>s</v>
      </c>
      <c r="CO6" s="9" t="str">
        <f t="shared" si="45"/>
        <v>d</v>
      </c>
      <c r="CP6" s="9" t="str">
        <f t="shared" si="45"/>
        <v>l</v>
      </c>
      <c r="CQ6" s="9" t="str">
        <f t="shared" si="45"/>
        <v>m</v>
      </c>
      <c r="CR6" s="9" t="str">
        <f t="shared" si="45"/>
        <v>m</v>
      </c>
      <c r="CS6" s="9" t="str">
        <f t="shared" si="45"/>
        <v>j</v>
      </c>
      <c r="CT6" s="9" t="str">
        <f t="shared" si="45"/>
        <v>v</v>
      </c>
      <c r="CU6" s="9" t="str">
        <f t="shared" si="45"/>
        <v>s</v>
      </c>
      <c r="CV6" s="9" t="str">
        <f t="shared" si="45"/>
        <v>d</v>
      </c>
    </row>
    <row r="7" spans="1:100" ht="15.75" thickBot="1" x14ac:dyDescent="0.3">
      <c r="A7" s="28" t="s">
        <v>5</v>
      </c>
      <c r="D7" s="30"/>
      <c r="F7"/>
      <c r="I7" t="str">
        <f>IF(OR(ISBLANK(task_start),ISBLANK(task_end)),"",task_end-task_start+1)</f>
        <v/>
      </c>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row>
    <row r="8" spans="1:100" s="3" customFormat="1" ht="15.75" thickBot="1" x14ac:dyDescent="0.3">
      <c r="A8" s="65"/>
      <c r="B8" s="11" t="s">
        <v>17</v>
      </c>
      <c r="C8" s="11"/>
      <c r="D8" s="34"/>
      <c r="E8" s="12"/>
      <c r="F8" s="49"/>
      <c r="G8" s="50"/>
      <c r="H8" s="10"/>
      <c r="I8" s="10" t="str">
        <f t="shared" ref="I8:I46" si="46">IF(OR(ISBLANK(task_start),ISBLANK(task_end)),"",task_end-task_start+1)</f>
        <v/>
      </c>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row>
    <row r="9" spans="1:100" s="3" customFormat="1" ht="15.75" thickBot="1" x14ac:dyDescent="0.3">
      <c r="A9" s="66" t="s">
        <v>43</v>
      </c>
      <c r="B9" s="64" t="s">
        <v>113</v>
      </c>
      <c r="C9" s="64" t="s">
        <v>75</v>
      </c>
      <c r="D9" s="35" t="s">
        <v>14</v>
      </c>
      <c r="E9" s="13">
        <v>1</v>
      </c>
      <c r="F9" s="61">
        <v>45904</v>
      </c>
      <c r="G9" s="61">
        <v>45904</v>
      </c>
      <c r="H9" s="10"/>
      <c r="I9" s="10">
        <f t="shared" si="46"/>
        <v>1</v>
      </c>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row>
    <row r="10" spans="1:100" s="3" customFormat="1" ht="15.75" thickBot="1" x14ac:dyDescent="0.3">
      <c r="A10" s="66" t="s">
        <v>44</v>
      </c>
      <c r="B10" s="64" t="s">
        <v>114</v>
      </c>
      <c r="C10" s="42" t="s">
        <v>75</v>
      </c>
      <c r="D10" s="35" t="s">
        <v>14</v>
      </c>
      <c r="E10" s="13">
        <v>1</v>
      </c>
      <c r="F10" s="61">
        <v>45905</v>
      </c>
      <c r="G10" s="61">
        <v>45905</v>
      </c>
      <c r="H10" s="10"/>
      <c r="I10" s="10">
        <f t="shared" si="46"/>
        <v>1</v>
      </c>
      <c r="J10" s="24"/>
      <c r="K10" s="24"/>
      <c r="L10" s="24"/>
      <c r="M10" s="24"/>
      <c r="N10" s="24"/>
      <c r="O10" s="24"/>
      <c r="P10" s="24"/>
      <c r="Q10" s="24"/>
      <c r="R10" s="24"/>
      <c r="S10" s="24"/>
      <c r="T10" s="24"/>
      <c r="U10" s="24"/>
      <c r="V10" s="25"/>
      <c r="W10" s="25"/>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row>
    <row r="11" spans="1:100" s="3" customFormat="1" ht="15.75" thickBot="1" x14ac:dyDescent="0.3">
      <c r="A11" s="66" t="s">
        <v>45</v>
      </c>
      <c r="B11" s="64" t="s">
        <v>115</v>
      </c>
      <c r="C11" s="42" t="s">
        <v>75</v>
      </c>
      <c r="D11" s="35" t="s">
        <v>14</v>
      </c>
      <c r="E11" s="13">
        <v>1</v>
      </c>
      <c r="F11" s="61">
        <v>45906</v>
      </c>
      <c r="G11" s="61">
        <v>45906</v>
      </c>
      <c r="H11" s="10"/>
      <c r="I11" s="10">
        <f t="shared" si="46"/>
        <v>1</v>
      </c>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row>
    <row r="12" spans="1:100" s="3" customFormat="1" ht="15.75" thickBot="1" x14ac:dyDescent="0.3">
      <c r="A12" s="66" t="s">
        <v>118</v>
      </c>
      <c r="B12" s="64" t="s">
        <v>116</v>
      </c>
      <c r="C12" s="42" t="s">
        <v>75</v>
      </c>
      <c r="D12" s="35" t="s">
        <v>14</v>
      </c>
      <c r="E12" s="13">
        <v>1</v>
      </c>
      <c r="F12" s="61">
        <v>45907</v>
      </c>
      <c r="G12" s="61">
        <v>45907</v>
      </c>
      <c r="H12" s="10"/>
      <c r="I12" s="10"/>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row>
    <row r="13" spans="1:100" s="3" customFormat="1" ht="15.75" thickBot="1" x14ac:dyDescent="0.3">
      <c r="A13" s="66" t="s">
        <v>46</v>
      </c>
      <c r="B13" s="64" t="s">
        <v>16</v>
      </c>
      <c r="C13" s="42" t="s">
        <v>74</v>
      </c>
      <c r="D13" s="35" t="s">
        <v>14</v>
      </c>
      <c r="E13" s="13">
        <v>1</v>
      </c>
      <c r="F13" s="61">
        <v>45908</v>
      </c>
      <c r="G13" s="61">
        <v>45908</v>
      </c>
      <c r="H13" s="10"/>
      <c r="I13" s="10"/>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row>
    <row r="14" spans="1:100" s="3" customFormat="1" ht="15.75" thickBot="1" x14ac:dyDescent="0.3">
      <c r="A14" s="66" t="s">
        <v>47</v>
      </c>
      <c r="B14" s="64" t="s">
        <v>119</v>
      </c>
      <c r="C14" s="42" t="s">
        <v>75</v>
      </c>
      <c r="D14" s="35" t="s">
        <v>14</v>
      </c>
      <c r="E14" s="13">
        <v>1</v>
      </c>
      <c r="F14" s="61">
        <v>45909</v>
      </c>
      <c r="G14" s="61">
        <v>45909</v>
      </c>
      <c r="H14" s="10"/>
      <c r="I14" s="10"/>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row>
    <row r="15" spans="1:100" s="3" customFormat="1" ht="30.75" thickBot="1" x14ac:dyDescent="0.3">
      <c r="A15" s="66" t="s">
        <v>48</v>
      </c>
      <c r="B15" s="64" t="s">
        <v>120</v>
      </c>
      <c r="C15" s="42" t="s">
        <v>75</v>
      </c>
      <c r="D15" s="35" t="s">
        <v>14</v>
      </c>
      <c r="E15" s="13">
        <v>1</v>
      </c>
      <c r="F15" s="61">
        <v>45910</v>
      </c>
      <c r="G15" s="61">
        <v>45911</v>
      </c>
      <c r="H15" s="10"/>
      <c r="I15" s="10">
        <f t="shared" si="46"/>
        <v>2</v>
      </c>
      <c r="J15" s="24"/>
      <c r="K15" s="24"/>
      <c r="L15" s="24"/>
      <c r="M15" s="24"/>
      <c r="N15" s="24"/>
      <c r="O15" s="24"/>
      <c r="P15" s="24"/>
      <c r="Q15" s="24"/>
      <c r="R15" s="24"/>
      <c r="S15" s="24"/>
      <c r="T15" s="24"/>
      <c r="U15" s="24"/>
      <c r="V15" s="24"/>
      <c r="W15" s="24"/>
      <c r="X15" s="24"/>
      <c r="Y15" s="24"/>
      <c r="Z15" s="25"/>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row>
    <row r="16" spans="1:100" s="3" customFormat="1" ht="15.75" thickBot="1" x14ac:dyDescent="0.3">
      <c r="A16" s="66"/>
      <c r="B16" s="67" t="s">
        <v>20</v>
      </c>
      <c r="C16" s="14"/>
      <c r="D16" s="36"/>
      <c r="E16" s="15"/>
      <c r="F16" s="51"/>
      <c r="G16" s="52"/>
      <c r="H16" s="10"/>
      <c r="I16" s="10" t="str">
        <f t="shared" si="46"/>
        <v/>
      </c>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row>
    <row r="17" spans="1:100" s="3" customFormat="1" ht="15.75" thickBot="1" x14ac:dyDescent="0.3">
      <c r="A17" s="66" t="s">
        <v>49</v>
      </c>
      <c r="B17" s="68" t="s">
        <v>21</v>
      </c>
      <c r="C17" s="43" t="s">
        <v>75</v>
      </c>
      <c r="D17" s="37" t="s">
        <v>41</v>
      </c>
      <c r="E17" s="16">
        <v>1</v>
      </c>
      <c r="F17" s="62">
        <v>45912</v>
      </c>
      <c r="G17" s="62">
        <v>45913</v>
      </c>
      <c r="H17" s="10"/>
      <c r="I17" s="10">
        <f t="shared" si="46"/>
        <v>2</v>
      </c>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row>
    <row r="18" spans="1:100" s="3" customFormat="1" ht="15.75" thickBot="1" x14ac:dyDescent="0.3">
      <c r="A18" s="66" t="s">
        <v>50</v>
      </c>
      <c r="B18" s="68" t="s">
        <v>22</v>
      </c>
      <c r="C18" s="43" t="s">
        <v>75</v>
      </c>
      <c r="D18" s="37" t="s">
        <v>32</v>
      </c>
      <c r="E18" s="16">
        <v>1</v>
      </c>
      <c r="F18" s="62"/>
      <c r="G18" s="62"/>
      <c r="H18" s="10"/>
      <c r="I18" s="10"/>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row>
    <row r="19" spans="1:100" s="3" customFormat="1" ht="15.75" thickBot="1" x14ac:dyDescent="0.3">
      <c r="A19" s="66" t="s">
        <v>111</v>
      </c>
      <c r="B19" s="68" t="s">
        <v>117</v>
      </c>
      <c r="C19" s="43" t="s">
        <v>74</v>
      </c>
      <c r="D19" s="37" t="s">
        <v>32</v>
      </c>
      <c r="E19" s="16">
        <v>1</v>
      </c>
      <c r="F19" s="62">
        <v>45912</v>
      </c>
      <c r="G19" s="62">
        <v>45915</v>
      </c>
      <c r="H19" s="10"/>
      <c r="I19" s="10">
        <f t="shared" si="46"/>
        <v>4</v>
      </c>
      <c r="J19" s="24"/>
      <c r="K19" s="24"/>
      <c r="L19" s="24"/>
      <c r="M19" s="24"/>
      <c r="N19" s="24"/>
      <c r="O19" s="24"/>
      <c r="P19" s="24"/>
      <c r="Q19" s="24"/>
      <c r="R19" s="24"/>
      <c r="S19" s="24"/>
      <c r="T19" s="24"/>
      <c r="U19" s="24"/>
      <c r="V19" s="25"/>
      <c r="W19" s="25"/>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row>
    <row r="20" spans="1:100" s="3" customFormat="1" ht="15.75" thickBot="1" x14ac:dyDescent="0.3">
      <c r="A20" s="66"/>
      <c r="B20" s="69" t="s">
        <v>23</v>
      </c>
      <c r="C20" s="17"/>
      <c r="D20" s="38"/>
      <c r="E20" s="18"/>
      <c r="F20" s="53"/>
      <c r="G20" s="54"/>
      <c r="H20" s="10"/>
      <c r="I20" s="10" t="str">
        <f t="shared" si="46"/>
        <v/>
      </c>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row>
    <row r="21" spans="1:100" s="3" customFormat="1" ht="15.75" thickBot="1" x14ac:dyDescent="0.3">
      <c r="A21" s="66" t="s">
        <v>51</v>
      </c>
      <c r="B21" s="70" t="s">
        <v>105</v>
      </c>
      <c r="C21" s="44" t="s">
        <v>75</v>
      </c>
      <c r="D21" s="39" t="s">
        <v>32</v>
      </c>
      <c r="E21" s="19">
        <v>1</v>
      </c>
      <c r="F21" s="55">
        <v>45922</v>
      </c>
      <c r="G21" s="55">
        <v>45924</v>
      </c>
      <c r="H21" s="10"/>
      <c r="I21" s="10">
        <f t="shared" si="46"/>
        <v>3</v>
      </c>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row>
    <row r="22" spans="1:100" s="3" customFormat="1" ht="15.75" thickBot="1" x14ac:dyDescent="0.3">
      <c r="A22" s="66" t="s">
        <v>52</v>
      </c>
      <c r="B22" s="70" t="s">
        <v>103</v>
      </c>
      <c r="C22" s="44" t="s">
        <v>75</v>
      </c>
      <c r="D22" s="39" t="s">
        <v>32</v>
      </c>
      <c r="E22" s="19">
        <v>1</v>
      </c>
      <c r="F22" s="55">
        <v>45924</v>
      </c>
      <c r="G22" s="55">
        <v>45926</v>
      </c>
      <c r="H22" s="10"/>
      <c r="I22" s="10"/>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row>
    <row r="23" spans="1:100" s="3" customFormat="1" ht="15.75" thickBot="1" x14ac:dyDescent="0.3">
      <c r="A23" s="66" t="s">
        <v>53</v>
      </c>
      <c r="B23" s="70" t="s">
        <v>107</v>
      </c>
      <c r="C23" s="44" t="s">
        <v>75</v>
      </c>
      <c r="D23" s="39" t="s">
        <v>31</v>
      </c>
      <c r="E23" s="19">
        <v>1</v>
      </c>
      <c r="F23" s="55">
        <v>45929</v>
      </c>
      <c r="G23" s="55">
        <v>45930</v>
      </c>
      <c r="H23" s="10"/>
      <c r="I23" s="10">
        <f t="shared" si="46"/>
        <v>2</v>
      </c>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row>
    <row r="24" spans="1:100" s="3" customFormat="1" ht="15.75" thickBot="1" x14ac:dyDescent="0.3">
      <c r="A24" s="66" t="s">
        <v>54</v>
      </c>
      <c r="B24" s="70" t="s">
        <v>108</v>
      </c>
      <c r="C24" s="44" t="s">
        <v>75</v>
      </c>
      <c r="D24" s="39" t="s">
        <v>32</v>
      </c>
      <c r="E24" s="19">
        <v>1</v>
      </c>
      <c r="F24" s="55">
        <v>45930</v>
      </c>
      <c r="G24" s="55">
        <v>45931</v>
      </c>
      <c r="H24" s="10"/>
      <c r="I24" s="10"/>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row>
    <row r="25" spans="1:100" s="3" customFormat="1" ht="30" customHeight="1" thickBot="1" x14ac:dyDescent="0.3">
      <c r="A25" s="66" t="s">
        <v>55</v>
      </c>
      <c r="B25" s="70" t="s">
        <v>109</v>
      </c>
      <c r="C25" s="44" t="s">
        <v>75</v>
      </c>
      <c r="D25" s="39" t="s">
        <v>32</v>
      </c>
      <c r="E25" s="19">
        <v>1</v>
      </c>
      <c r="F25" s="55">
        <v>45936</v>
      </c>
      <c r="G25" s="55">
        <v>45937</v>
      </c>
      <c r="H25" s="10"/>
      <c r="I25" s="10">
        <f t="shared" si="46"/>
        <v>2</v>
      </c>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row>
    <row r="26" spans="1:100" s="3" customFormat="1" ht="15.75" thickBot="1" x14ac:dyDescent="0.3">
      <c r="A26" s="66" t="s">
        <v>106</v>
      </c>
      <c r="B26" s="70" t="s">
        <v>102</v>
      </c>
      <c r="C26" s="44" t="s">
        <v>75</v>
      </c>
      <c r="D26" s="39" t="s">
        <v>110</v>
      </c>
      <c r="E26" s="19">
        <v>1</v>
      </c>
      <c r="F26" s="55">
        <v>45937</v>
      </c>
      <c r="G26" s="55">
        <v>45937</v>
      </c>
      <c r="H26" s="10"/>
      <c r="I26" s="10"/>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row>
    <row r="27" spans="1:100" s="3" customFormat="1" ht="15.75" thickBot="1" x14ac:dyDescent="0.3">
      <c r="A27" s="66" t="s">
        <v>112</v>
      </c>
      <c r="B27" s="70" t="s">
        <v>104</v>
      </c>
      <c r="C27" s="44" t="s">
        <v>75</v>
      </c>
      <c r="D27" s="39" t="s">
        <v>31</v>
      </c>
      <c r="E27" s="19">
        <v>1</v>
      </c>
      <c r="F27" s="55">
        <v>45936</v>
      </c>
      <c r="G27" s="55">
        <v>45939</v>
      </c>
      <c r="H27" s="10"/>
      <c r="I27" s="10"/>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row>
    <row r="28" spans="1:100" s="3" customFormat="1" ht="15.75" thickBot="1" x14ac:dyDescent="0.3">
      <c r="A28" s="66" t="s">
        <v>121</v>
      </c>
      <c r="B28" s="70" t="s">
        <v>122</v>
      </c>
      <c r="C28" s="44" t="s">
        <v>75</v>
      </c>
      <c r="D28" s="39" t="s">
        <v>31</v>
      </c>
      <c r="E28" s="19">
        <v>1</v>
      </c>
      <c r="F28" s="55">
        <v>45936</v>
      </c>
      <c r="G28" s="55">
        <v>45939</v>
      </c>
      <c r="H28" s="10"/>
      <c r="I28" s="10"/>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row>
    <row r="29" spans="1:100" s="3" customFormat="1" ht="30" customHeight="1" thickBot="1" x14ac:dyDescent="0.3">
      <c r="A29" s="66"/>
      <c r="B29" s="71" t="s">
        <v>24</v>
      </c>
      <c r="C29" s="20"/>
      <c r="D29" s="40"/>
      <c r="E29" s="21"/>
      <c r="F29" s="56"/>
      <c r="G29" s="57"/>
      <c r="H29" s="10"/>
      <c r="I29" s="10" t="str">
        <f t="shared" si="46"/>
        <v/>
      </c>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row>
    <row r="30" spans="1:100" s="3" customFormat="1" ht="30" customHeight="1" thickBot="1" x14ac:dyDescent="0.3">
      <c r="A30" s="66" t="s">
        <v>56</v>
      </c>
      <c r="B30" s="72" t="s">
        <v>25</v>
      </c>
      <c r="C30" s="45" t="s">
        <v>75</v>
      </c>
      <c r="D30" s="41" t="s">
        <v>31</v>
      </c>
      <c r="E30" s="22">
        <v>1</v>
      </c>
      <c r="F30" s="63">
        <v>45940</v>
      </c>
      <c r="G30" s="63">
        <v>45946</v>
      </c>
      <c r="H30" s="10"/>
      <c r="I30" s="10">
        <f t="shared" si="46"/>
        <v>7</v>
      </c>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row>
    <row r="31" spans="1:100" s="3" customFormat="1" ht="30" customHeight="1" thickBot="1" x14ac:dyDescent="0.3">
      <c r="A31" s="66" t="s">
        <v>57</v>
      </c>
      <c r="B31" s="72" t="s">
        <v>146</v>
      </c>
      <c r="C31" s="45" t="s">
        <v>75</v>
      </c>
      <c r="D31" s="41" t="s">
        <v>31</v>
      </c>
      <c r="E31" s="22">
        <v>1</v>
      </c>
      <c r="F31" s="63">
        <v>45946</v>
      </c>
      <c r="G31" s="63">
        <v>45958</v>
      </c>
      <c r="H31" s="10"/>
      <c r="I31" s="10"/>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row>
    <row r="32" spans="1:100" s="3" customFormat="1" ht="30" customHeight="1" thickBot="1" x14ac:dyDescent="0.3">
      <c r="A32" s="66" t="s">
        <v>131</v>
      </c>
      <c r="B32" s="72" t="s">
        <v>130</v>
      </c>
      <c r="C32" s="45" t="s">
        <v>75</v>
      </c>
      <c r="D32" s="41" t="s">
        <v>31</v>
      </c>
      <c r="E32" s="22">
        <v>1</v>
      </c>
      <c r="F32" s="63">
        <v>45948</v>
      </c>
      <c r="G32" s="63">
        <v>45950</v>
      </c>
      <c r="H32" s="10"/>
      <c r="I32" s="10"/>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row>
    <row r="33" spans="1:100" s="3" customFormat="1" ht="30" customHeight="1" thickBot="1" x14ac:dyDescent="0.3">
      <c r="A33" s="66" t="s">
        <v>132</v>
      </c>
      <c r="B33" s="72" t="s">
        <v>129</v>
      </c>
      <c r="C33" s="45" t="s">
        <v>75</v>
      </c>
      <c r="D33" s="41" t="s">
        <v>31</v>
      </c>
      <c r="E33" s="22">
        <v>1</v>
      </c>
      <c r="F33" s="63">
        <v>45950</v>
      </c>
      <c r="G33" s="63">
        <v>45951</v>
      </c>
      <c r="H33" s="10"/>
      <c r="I33" s="10"/>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row>
    <row r="34" spans="1:100" s="3" customFormat="1" ht="30" customHeight="1" thickBot="1" x14ac:dyDescent="0.3">
      <c r="A34" s="66" t="s">
        <v>133</v>
      </c>
      <c r="B34" s="72" t="s">
        <v>127</v>
      </c>
      <c r="C34" s="45" t="s">
        <v>75</v>
      </c>
      <c r="D34" s="41" t="s">
        <v>31</v>
      </c>
      <c r="E34" s="22">
        <v>1</v>
      </c>
      <c r="F34" s="63">
        <v>45950</v>
      </c>
      <c r="G34" s="63">
        <v>45952</v>
      </c>
      <c r="H34" s="10"/>
      <c r="I34" s="10"/>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row>
    <row r="35" spans="1:100" s="3" customFormat="1" ht="30" customHeight="1" thickBot="1" x14ac:dyDescent="0.3">
      <c r="A35" s="66" t="s">
        <v>134</v>
      </c>
      <c r="B35" s="72" t="s">
        <v>138</v>
      </c>
      <c r="C35" s="45" t="s">
        <v>75</v>
      </c>
      <c r="D35" s="41" t="s">
        <v>31</v>
      </c>
      <c r="E35" s="22">
        <v>1</v>
      </c>
      <c r="F35" s="63">
        <v>45950</v>
      </c>
      <c r="G35" s="63">
        <v>45953</v>
      </c>
      <c r="H35" s="10"/>
      <c r="I35" s="10"/>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row>
    <row r="36" spans="1:100" s="3" customFormat="1" ht="30" customHeight="1" thickBot="1" x14ac:dyDescent="0.3">
      <c r="A36" s="66" t="s">
        <v>135</v>
      </c>
      <c r="B36" s="72" t="s">
        <v>128</v>
      </c>
      <c r="C36" s="45" t="s">
        <v>75</v>
      </c>
      <c r="D36" s="41" t="s">
        <v>31</v>
      </c>
      <c r="E36" s="22">
        <v>1</v>
      </c>
      <c r="F36" s="63">
        <v>45950</v>
      </c>
      <c r="G36" s="63">
        <v>45954</v>
      </c>
      <c r="H36" s="10"/>
      <c r="I36" s="10"/>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row>
    <row r="37" spans="1:100" s="3" customFormat="1" ht="30" customHeight="1" thickBot="1" x14ac:dyDescent="0.3">
      <c r="A37" s="66" t="s">
        <v>137</v>
      </c>
      <c r="B37" s="72" t="s">
        <v>136</v>
      </c>
      <c r="C37" s="45" t="s">
        <v>75</v>
      </c>
      <c r="D37" s="41" t="s">
        <v>31</v>
      </c>
      <c r="E37" s="22">
        <v>1</v>
      </c>
      <c r="F37" s="63">
        <v>45955</v>
      </c>
      <c r="G37" s="63">
        <v>45958</v>
      </c>
      <c r="H37" s="10"/>
      <c r="I37" s="10"/>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row>
    <row r="38" spans="1:100" s="3" customFormat="1" ht="30" customHeight="1" thickBot="1" x14ac:dyDescent="0.3">
      <c r="A38" s="66" t="s">
        <v>58</v>
      </c>
      <c r="B38" s="72" t="s">
        <v>145</v>
      </c>
      <c r="C38" s="45" t="s">
        <v>75</v>
      </c>
      <c r="D38" s="41" t="s">
        <v>32</v>
      </c>
      <c r="E38" s="22">
        <v>1</v>
      </c>
      <c r="F38" s="63">
        <v>45958</v>
      </c>
      <c r="G38" s="63">
        <v>45967</v>
      </c>
      <c r="H38" s="10"/>
      <c r="I38" s="10"/>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row>
    <row r="39" spans="1:100" s="3" customFormat="1" ht="30" customHeight="1" thickBot="1" x14ac:dyDescent="0.3">
      <c r="A39" s="66" t="s">
        <v>147</v>
      </c>
      <c r="B39" s="72" t="s">
        <v>26</v>
      </c>
      <c r="C39" s="45" t="s">
        <v>75</v>
      </c>
      <c r="D39" s="41" t="s">
        <v>32</v>
      </c>
      <c r="E39" s="22">
        <v>1</v>
      </c>
      <c r="F39" s="63">
        <v>45958</v>
      </c>
      <c r="G39" s="63">
        <v>45961</v>
      </c>
      <c r="H39" s="10"/>
      <c r="I39" s="10"/>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row>
    <row r="40" spans="1:100" s="3" customFormat="1" ht="30" customHeight="1" thickBot="1" x14ac:dyDescent="0.3">
      <c r="A40" s="66" t="s">
        <v>148</v>
      </c>
      <c r="B40" s="72" t="s">
        <v>27</v>
      </c>
      <c r="C40" s="45" t="s">
        <v>75</v>
      </c>
      <c r="D40" s="41" t="s">
        <v>32</v>
      </c>
      <c r="E40" s="22">
        <v>1</v>
      </c>
      <c r="F40" s="63">
        <v>45958</v>
      </c>
      <c r="G40" s="63">
        <v>45961</v>
      </c>
      <c r="H40" s="10"/>
      <c r="I40" s="10">
        <f t="shared" si="46"/>
        <v>4</v>
      </c>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row>
    <row r="41" spans="1:100" s="3" customFormat="1" ht="30" customHeight="1" thickBot="1" x14ac:dyDescent="0.3">
      <c r="A41" s="66" t="s">
        <v>59</v>
      </c>
      <c r="B41" s="72" t="s">
        <v>140</v>
      </c>
      <c r="C41" s="45" t="s">
        <v>75</v>
      </c>
      <c r="D41" s="41" t="s">
        <v>31</v>
      </c>
      <c r="E41" s="22">
        <v>1</v>
      </c>
      <c r="F41" s="63">
        <v>45958</v>
      </c>
      <c r="G41" s="63">
        <v>45961</v>
      </c>
      <c r="H41" s="10"/>
      <c r="I41" s="10"/>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row>
    <row r="42" spans="1:100" s="3" customFormat="1" ht="30" customHeight="1" thickBot="1" x14ac:dyDescent="0.3">
      <c r="A42" s="66" t="s">
        <v>60</v>
      </c>
      <c r="B42" s="72" t="s">
        <v>139</v>
      </c>
      <c r="C42" s="45" t="s">
        <v>75</v>
      </c>
      <c r="D42" s="41" t="s">
        <v>31</v>
      </c>
      <c r="E42" s="22">
        <v>1</v>
      </c>
      <c r="F42" s="63">
        <v>45961</v>
      </c>
      <c r="G42" s="63">
        <v>45965</v>
      </c>
      <c r="H42" s="10"/>
      <c r="I42" s="10"/>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row>
    <row r="43" spans="1:100" s="3" customFormat="1" ht="30" customHeight="1" thickBot="1" x14ac:dyDescent="0.3">
      <c r="A43" s="66" t="s">
        <v>61</v>
      </c>
      <c r="B43" s="72" t="s">
        <v>29</v>
      </c>
      <c r="C43" s="45" t="s">
        <v>75</v>
      </c>
      <c r="D43" s="41" t="s">
        <v>33</v>
      </c>
      <c r="E43" s="22">
        <v>1</v>
      </c>
      <c r="F43" s="63">
        <v>45965</v>
      </c>
      <c r="G43" s="63">
        <v>45967</v>
      </c>
      <c r="H43" s="10"/>
      <c r="I43" s="10">
        <f t="shared" si="46"/>
        <v>3</v>
      </c>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row>
    <row r="44" spans="1:100" s="3" customFormat="1" ht="30" customHeight="1" thickBot="1" x14ac:dyDescent="0.3">
      <c r="A44" s="66" t="s">
        <v>62</v>
      </c>
      <c r="B44" s="72" t="s">
        <v>30</v>
      </c>
      <c r="C44" s="45" t="s">
        <v>74</v>
      </c>
      <c r="D44" s="41" t="s">
        <v>33</v>
      </c>
      <c r="E44" s="22">
        <v>1</v>
      </c>
      <c r="F44" s="63">
        <v>45965</v>
      </c>
      <c r="G44" s="63">
        <v>45968</v>
      </c>
      <c r="H44" s="10"/>
      <c r="I44" s="10">
        <f t="shared" si="46"/>
        <v>4</v>
      </c>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row>
    <row r="45" spans="1:100" s="3" customFormat="1" ht="30" customHeight="1" thickBot="1" x14ac:dyDescent="0.3">
      <c r="A45" s="66"/>
      <c r="B45" s="67" t="s">
        <v>34</v>
      </c>
      <c r="C45" s="14"/>
      <c r="D45" s="36"/>
      <c r="E45" s="15"/>
      <c r="F45" s="51"/>
      <c r="G45" s="52"/>
      <c r="H45" s="10"/>
      <c r="I45" s="10" t="str">
        <f t="shared" si="46"/>
        <v/>
      </c>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row>
    <row r="46" spans="1:100" s="3" customFormat="1" ht="30" customHeight="1" thickBot="1" x14ac:dyDescent="0.3">
      <c r="A46" s="66" t="s">
        <v>63</v>
      </c>
      <c r="B46" s="68" t="s">
        <v>141</v>
      </c>
      <c r="C46" s="43" t="s">
        <v>75</v>
      </c>
      <c r="D46" s="37" t="s">
        <v>31</v>
      </c>
      <c r="E46" s="16">
        <v>1</v>
      </c>
      <c r="F46" s="62">
        <v>45971</v>
      </c>
      <c r="G46" s="62">
        <v>45974</v>
      </c>
      <c r="H46" s="23"/>
      <c r="I46" s="23">
        <f t="shared" si="46"/>
        <v>4</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4"/>
    </row>
    <row r="47" spans="1:100" ht="30" customHeight="1" thickBot="1" x14ac:dyDescent="0.3">
      <c r="A47" s="66" t="s">
        <v>64</v>
      </c>
      <c r="B47" s="68" t="s">
        <v>142</v>
      </c>
      <c r="C47" s="43" t="s">
        <v>75</v>
      </c>
      <c r="D47" s="37" t="s">
        <v>32</v>
      </c>
      <c r="E47" s="16">
        <v>1</v>
      </c>
      <c r="F47" s="62">
        <v>45973</v>
      </c>
      <c r="G47" s="62">
        <v>45975</v>
      </c>
      <c r="H47" s="10"/>
      <c r="I47" s="10"/>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row>
    <row r="48" spans="1:100" ht="30" customHeight="1" thickBot="1" x14ac:dyDescent="0.3">
      <c r="A48" s="66" t="s">
        <v>65</v>
      </c>
      <c r="B48" s="68" t="s">
        <v>144</v>
      </c>
      <c r="C48" s="43" t="s">
        <v>75</v>
      </c>
      <c r="D48" s="37" t="s">
        <v>33</v>
      </c>
      <c r="E48" s="16">
        <v>1</v>
      </c>
      <c r="F48" s="62">
        <v>45973</v>
      </c>
      <c r="G48" s="62">
        <v>45975</v>
      </c>
      <c r="H48" s="10"/>
      <c r="I48" s="10"/>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row>
    <row r="49" spans="1:100" ht="30" customHeight="1" thickBot="1" x14ac:dyDescent="0.3">
      <c r="A49" s="66" t="s">
        <v>66</v>
      </c>
      <c r="B49" s="68" t="s">
        <v>143</v>
      </c>
      <c r="C49" s="43" t="s">
        <v>75</v>
      </c>
      <c r="D49" s="37" t="s">
        <v>33</v>
      </c>
      <c r="E49" s="16">
        <v>1</v>
      </c>
      <c r="F49" s="62">
        <v>45973</v>
      </c>
      <c r="G49" s="62">
        <v>45975</v>
      </c>
      <c r="H49" s="10"/>
      <c r="I49" s="10">
        <f t="shared" ref="I49:I50" si="47">IF(OR(ISBLANK(task_start),ISBLANK(task_end)),"",task_end-task_start+1)</f>
        <v>3</v>
      </c>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row>
    <row r="50" spans="1:100" ht="30" customHeight="1" thickBot="1" x14ac:dyDescent="0.3">
      <c r="A50" s="66" t="s">
        <v>67</v>
      </c>
      <c r="B50" s="68" t="s">
        <v>126</v>
      </c>
      <c r="C50" s="43" t="s">
        <v>75</v>
      </c>
      <c r="D50" s="37" t="s">
        <v>33</v>
      </c>
      <c r="E50" s="16">
        <v>1</v>
      </c>
      <c r="F50" s="62">
        <v>45978</v>
      </c>
      <c r="G50" s="62">
        <v>45978</v>
      </c>
      <c r="H50" s="10"/>
      <c r="I50" s="10">
        <f t="shared" si="47"/>
        <v>1</v>
      </c>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row>
    <row r="51" spans="1:100" ht="30" customHeight="1" thickBot="1" x14ac:dyDescent="0.3">
      <c r="A51" s="66"/>
      <c r="B51" s="73" t="s">
        <v>35</v>
      </c>
      <c r="C51" s="11"/>
      <c r="D51" s="34"/>
      <c r="E51" s="12"/>
      <c r="F51" s="49"/>
      <c r="G51" s="50"/>
      <c r="H51" s="10"/>
      <c r="I51" s="10" t="str">
        <f t="shared" ref="I51:I52" si="48">IF(OR(ISBLANK(task_start),ISBLANK(task_end)),"",task_end-task_start+1)</f>
        <v/>
      </c>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row>
    <row r="52" spans="1:100" ht="30" customHeight="1" thickBot="1" x14ac:dyDescent="0.3">
      <c r="A52" s="66" t="s">
        <v>69</v>
      </c>
      <c r="B52" s="64" t="s">
        <v>125</v>
      </c>
      <c r="C52" s="64" t="s">
        <v>74</v>
      </c>
      <c r="D52" s="35" t="s">
        <v>33</v>
      </c>
      <c r="E52" s="13">
        <v>1</v>
      </c>
      <c r="F52" s="61">
        <v>45979</v>
      </c>
      <c r="G52" s="61">
        <v>45980</v>
      </c>
      <c r="H52" s="23"/>
      <c r="I52" s="23">
        <f t="shared" si="48"/>
        <v>2</v>
      </c>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4"/>
    </row>
    <row r="53" spans="1:100" ht="30" customHeight="1" thickBot="1" x14ac:dyDescent="0.3">
      <c r="A53" s="66" t="s">
        <v>70</v>
      </c>
      <c r="B53" s="64" t="s">
        <v>124</v>
      </c>
      <c r="C53" s="42" t="s">
        <v>75</v>
      </c>
      <c r="D53" s="35" t="s">
        <v>33</v>
      </c>
      <c r="E53" s="13">
        <v>1</v>
      </c>
      <c r="F53" s="61">
        <v>45980</v>
      </c>
      <c r="G53" s="61">
        <v>45980</v>
      </c>
      <c r="H53" s="10"/>
      <c r="I53" s="10"/>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row>
    <row r="54" spans="1:100" ht="30" customHeight="1" thickBot="1" x14ac:dyDescent="0.3">
      <c r="A54" s="66"/>
      <c r="B54" s="69" t="s">
        <v>40</v>
      </c>
      <c r="C54" s="17"/>
      <c r="D54" s="38"/>
      <c r="E54" s="18"/>
      <c r="F54" s="53"/>
      <c r="G54" s="54"/>
      <c r="H54" s="10"/>
      <c r="I54" s="10" t="str">
        <f t="shared" ref="I54:I56" si="49">IF(OR(ISBLANK(task_start),ISBLANK(task_end)),"",task_end-task_start+1)</f>
        <v/>
      </c>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row>
    <row r="55" spans="1:100" ht="30" customHeight="1" thickBot="1" x14ac:dyDescent="0.3">
      <c r="A55" s="66" t="s">
        <v>71</v>
      </c>
      <c r="B55" s="70" t="s">
        <v>123</v>
      </c>
      <c r="C55" s="44" t="s">
        <v>74</v>
      </c>
      <c r="D55" s="39" t="s">
        <v>33</v>
      </c>
      <c r="E55" s="19">
        <v>1</v>
      </c>
      <c r="F55" s="55">
        <v>45980</v>
      </c>
      <c r="G55" s="55">
        <v>45980</v>
      </c>
      <c r="H55" s="10"/>
      <c r="I55" s="10"/>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row>
    <row r="56" spans="1:100" ht="30" customHeight="1" thickBot="1" x14ac:dyDescent="0.3">
      <c r="A56" s="66" t="s">
        <v>72</v>
      </c>
      <c r="B56" s="70" t="s">
        <v>39</v>
      </c>
      <c r="C56" s="44" t="s">
        <v>75</v>
      </c>
      <c r="D56" s="39" t="s">
        <v>32</v>
      </c>
      <c r="E56" s="19">
        <v>1</v>
      </c>
      <c r="F56" s="55">
        <v>45981</v>
      </c>
      <c r="G56" s="55">
        <v>45981</v>
      </c>
      <c r="H56" s="10"/>
      <c r="I56" s="10">
        <f t="shared" si="49"/>
        <v>1</v>
      </c>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row>
  </sheetData>
  <mergeCells count="16">
    <mergeCell ref="BN4:BT4"/>
    <mergeCell ref="BU4:CA4"/>
    <mergeCell ref="CB4:CH4"/>
    <mergeCell ref="CI4:CO4"/>
    <mergeCell ref="CP4:CV4"/>
    <mergeCell ref="BG4:BM4"/>
    <mergeCell ref="F3:G3"/>
    <mergeCell ref="J4:P4"/>
    <mergeCell ref="Q4:W4"/>
    <mergeCell ref="X4:AD4"/>
    <mergeCell ref="AE4:AK4"/>
    <mergeCell ref="D3:E3"/>
    <mergeCell ref="D4:E4"/>
    <mergeCell ref="AL4:AR4"/>
    <mergeCell ref="AS4:AY4"/>
    <mergeCell ref="AZ4:BF4"/>
  </mergeCells>
  <phoneticPr fontId="27" type="noConversion"/>
  <conditionalFormatting sqref="E7:E56">
    <cfRule type="dataBar" priority="20">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5:BM41 BN8:CV41 J42:CU46 CV42:CV48 J51:CU52 BN5:CV6">
    <cfRule type="expression" dxfId="8" priority="39">
      <formula>AND(TODAY()&gt;=J$5,TODAY()&lt;K$5)</formula>
    </cfRule>
  </conditionalFormatting>
  <conditionalFormatting sqref="J7:BM41 BN8:CV41 J42:CU46 CV42:CV48 J51:CU52">
    <cfRule type="expression" dxfId="7" priority="34" stopIfTrue="1">
      <formula>AND(task_end&gt;=J$5,task_start&lt;K$5)</formula>
    </cfRule>
  </conditionalFormatting>
  <conditionalFormatting sqref="J47:BM56 BN49:CV56">
    <cfRule type="expression" dxfId="6" priority="1">
      <formula>AND(task_start&lt;=J$5,ROUNDDOWN((task_end-task_start+1)*task_progress,0)+task_start-1&gt;=J$5)</formula>
    </cfRule>
    <cfRule type="expression" dxfId="5" priority="2" stopIfTrue="1">
      <formula>AND(task_end&gt;=J$5,task_start&lt;K$5)</formula>
    </cfRule>
    <cfRule type="expression" dxfId="4" priority="3">
      <formula>AND(TODAY()&gt;=J$5,TODAY()&lt;K$5)</formula>
    </cfRule>
  </conditionalFormatting>
  <conditionalFormatting sqref="J51:CU52 J7:BM41 BN8:CV41 J42:CU46 CV42:CV48">
    <cfRule type="expression" dxfId="3" priority="33">
      <formula>AND(task_start&lt;=J$5,ROUNDDOWN((task_end-task_start+1)*task_progress,0)+task_start-1&gt;=J$5)</formula>
    </cfRule>
  </conditionalFormatting>
  <conditionalFormatting sqref="BN47:CU48">
    <cfRule type="expression" dxfId="2" priority="4">
      <formula>AND(task_start&lt;=BN$5,ROUNDDOWN((task_end-task_start+1)*task_progress,0)+task_start-1&gt;=BN$5)</formula>
    </cfRule>
    <cfRule type="expression" dxfId="1" priority="5" stopIfTrue="1">
      <formula>AND(task_end&gt;=BN$5,task_start&lt;BO$5)</formula>
    </cfRule>
    <cfRule type="expression" dxfId="0" priority="6">
      <formula>AND(TODAY()&gt;=BN$5,TODAY()&lt;BO$5)</formula>
    </cfRule>
  </conditionalFormatting>
  <dataValidations count="1">
    <dataValidation type="whole" operator="greaterThanOrEqual" allowBlank="1" showInputMessage="1" promptTitle="Mostrar semana" prompt="Al cambiar este número, se desplazará la vista del diagrama de Gantt." sqref="F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CF29A-6D74-4A61-ACEC-3948EB7D9C3A}">
  <dimension ref="A3:C33"/>
  <sheetViews>
    <sheetView workbookViewId="0">
      <selection activeCell="B10" sqref="B10"/>
    </sheetView>
  </sheetViews>
  <sheetFormatPr baseColWidth="10" defaultRowHeight="15" x14ac:dyDescent="0.25"/>
  <cols>
    <col min="1" max="1" width="6.5703125" customWidth="1"/>
    <col min="2" max="2" width="26.140625" customWidth="1"/>
    <col min="3" max="3" width="97.85546875" customWidth="1"/>
  </cols>
  <sheetData>
    <row r="3" spans="1:3" ht="18.75" x14ac:dyDescent="0.3">
      <c r="A3" s="76" t="s">
        <v>42</v>
      </c>
      <c r="B3" s="77" t="s">
        <v>6</v>
      </c>
      <c r="C3" s="77" t="s">
        <v>76</v>
      </c>
    </row>
    <row r="4" spans="1:3" ht="44.25" customHeight="1" x14ac:dyDescent="0.25">
      <c r="A4" s="74" t="s">
        <v>43</v>
      </c>
      <c r="B4" s="75" t="s">
        <v>113</v>
      </c>
      <c r="C4" s="75" t="s">
        <v>165</v>
      </c>
    </row>
    <row r="5" spans="1:3" ht="44.25" customHeight="1" x14ac:dyDescent="0.25">
      <c r="A5" s="74" t="s">
        <v>44</v>
      </c>
      <c r="B5" s="75" t="s">
        <v>114</v>
      </c>
      <c r="C5" s="75" t="s">
        <v>166</v>
      </c>
    </row>
    <row r="6" spans="1:3" ht="45" x14ac:dyDescent="0.25">
      <c r="A6" s="74" t="s">
        <v>45</v>
      </c>
      <c r="B6" s="75" t="s">
        <v>164</v>
      </c>
      <c r="C6" s="75" t="s">
        <v>163</v>
      </c>
    </row>
    <row r="7" spans="1:3" ht="30" x14ac:dyDescent="0.25">
      <c r="A7" s="74" t="s">
        <v>46</v>
      </c>
      <c r="B7" s="75" t="s">
        <v>16</v>
      </c>
      <c r="C7" s="75" t="s">
        <v>78</v>
      </c>
    </row>
    <row r="8" spans="1:3" x14ac:dyDescent="0.25">
      <c r="A8" s="74" t="s">
        <v>47</v>
      </c>
      <c r="B8" s="75" t="s">
        <v>77</v>
      </c>
      <c r="C8" s="75" t="s">
        <v>79</v>
      </c>
    </row>
    <row r="9" spans="1:3" ht="30" x14ac:dyDescent="0.25">
      <c r="A9" s="74" t="s">
        <v>48</v>
      </c>
      <c r="B9" s="75" t="s">
        <v>15</v>
      </c>
      <c r="C9" s="75" t="s">
        <v>80</v>
      </c>
    </row>
    <row r="10" spans="1:3" ht="30" x14ac:dyDescent="0.25">
      <c r="A10" s="74" t="s">
        <v>49</v>
      </c>
      <c r="B10" s="75" t="s">
        <v>21</v>
      </c>
      <c r="C10" s="75" t="s">
        <v>81</v>
      </c>
    </row>
    <row r="11" spans="1:3" ht="30" x14ac:dyDescent="0.25">
      <c r="A11" s="74" t="s">
        <v>50</v>
      </c>
      <c r="B11" s="75" t="s">
        <v>22</v>
      </c>
      <c r="C11" s="75" t="s">
        <v>82</v>
      </c>
    </row>
    <row r="12" spans="1:3" x14ac:dyDescent="0.25">
      <c r="A12" s="74" t="s">
        <v>111</v>
      </c>
      <c r="B12" s="75" t="s">
        <v>161</v>
      </c>
      <c r="C12" s="75" t="s">
        <v>162</v>
      </c>
    </row>
    <row r="13" spans="1:3" ht="30" x14ac:dyDescent="0.25">
      <c r="A13" s="74" t="s">
        <v>51</v>
      </c>
      <c r="B13" s="75" t="s">
        <v>157</v>
      </c>
      <c r="C13" s="75" t="s">
        <v>83</v>
      </c>
    </row>
    <row r="14" spans="1:3" ht="30" x14ac:dyDescent="0.25">
      <c r="A14" s="74" t="s">
        <v>52</v>
      </c>
      <c r="B14" s="75" t="s">
        <v>159</v>
      </c>
      <c r="C14" s="75" t="s">
        <v>84</v>
      </c>
    </row>
    <row r="15" spans="1:3" ht="30" x14ac:dyDescent="0.25">
      <c r="A15" s="74" t="s">
        <v>53</v>
      </c>
      <c r="B15" s="75" t="s">
        <v>158</v>
      </c>
      <c r="C15" s="75" t="s">
        <v>85</v>
      </c>
    </row>
    <row r="16" spans="1:3" ht="30" x14ac:dyDescent="0.25">
      <c r="A16" s="74" t="s">
        <v>54</v>
      </c>
      <c r="B16" s="75" t="s">
        <v>104</v>
      </c>
      <c r="C16" s="75" t="s">
        <v>86</v>
      </c>
    </row>
    <row r="17" spans="1:3" ht="30" x14ac:dyDescent="0.25">
      <c r="A17" s="74" t="s">
        <v>55</v>
      </c>
      <c r="B17" s="75" t="s">
        <v>160</v>
      </c>
      <c r="C17" s="75" t="s">
        <v>87</v>
      </c>
    </row>
    <row r="18" spans="1:3" x14ac:dyDescent="0.25">
      <c r="A18" s="74" t="s">
        <v>56</v>
      </c>
      <c r="B18" s="75" t="s">
        <v>25</v>
      </c>
      <c r="C18" s="75" t="s">
        <v>88</v>
      </c>
    </row>
    <row r="19" spans="1:3" ht="45" x14ac:dyDescent="0.25">
      <c r="A19" s="74" t="s">
        <v>57</v>
      </c>
      <c r="B19" s="75" t="s">
        <v>153</v>
      </c>
      <c r="C19" s="75" t="s">
        <v>152</v>
      </c>
    </row>
    <row r="20" spans="1:3" x14ac:dyDescent="0.25">
      <c r="A20" s="74" t="s">
        <v>58</v>
      </c>
      <c r="B20" s="75" t="s">
        <v>154</v>
      </c>
      <c r="C20" s="75" t="s">
        <v>89</v>
      </c>
    </row>
    <row r="21" spans="1:3" x14ac:dyDescent="0.25">
      <c r="A21" s="74" t="s">
        <v>59</v>
      </c>
      <c r="B21" s="75" t="s">
        <v>28</v>
      </c>
      <c r="C21" s="75" t="s">
        <v>90</v>
      </c>
    </row>
    <row r="22" spans="1:3" ht="45" x14ac:dyDescent="0.25">
      <c r="A22" s="74" t="s">
        <v>60</v>
      </c>
      <c r="B22" s="75" t="s">
        <v>156</v>
      </c>
      <c r="C22" s="75" t="s">
        <v>155</v>
      </c>
    </row>
    <row r="23" spans="1:3" x14ac:dyDescent="0.25">
      <c r="A23" s="74" t="s">
        <v>61</v>
      </c>
      <c r="B23" s="75" t="s">
        <v>29</v>
      </c>
      <c r="C23" s="75" t="s">
        <v>91</v>
      </c>
    </row>
    <row r="24" spans="1:3" x14ac:dyDescent="0.25">
      <c r="A24" s="74" t="s">
        <v>62</v>
      </c>
      <c r="B24" s="75" t="s">
        <v>30</v>
      </c>
      <c r="C24" s="75" t="s">
        <v>92</v>
      </c>
    </row>
    <row r="25" spans="1:3" ht="30" x14ac:dyDescent="0.25">
      <c r="A25" s="74" t="s">
        <v>63</v>
      </c>
      <c r="B25" s="75" t="s">
        <v>141</v>
      </c>
      <c r="C25" s="75" t="s">
        <v>93</v>
      </c>
    </row>
    <row r="26" spans="1:3" ht="30" x14ac:dyDescent="0.25">
      <c r="A26" s="74" t="s">
        <v>64</v>
      </c>
      <c r="B26" s="75" t="s">
        <v>149</v>
      </c>
      <c r="C26" s="75" t="s">
        <v>94</v>
      </c>
    </row>
    <row r="27" spans="1:3" ht="30" x14ac:dyDescent="0.25">
      <c r="A27" s="74" t="s">
        <v>65</v>
      </c>
      <c r="B27" s="75" t="s">
        <v>143</v>
      </c>
      <c r="C27" s="75" t="s">
        <v>95</v>
      </c>
    </row>
    <row r="28" spans="1:3" ht="30" x14ac:dyDescent="0.25">
      <c r="A28" s="74" t="s">
        <v>66</v>
      </c>
      <c r="B28" s="75" t="s">
        <v>150</v>
      </c>
      <c r="C28" s="75" t="s">
        <v>96</v>
      </c>
    </row>
    <row r="29" spans="1:3" ht="30" x14ac:dyDescent="0.25">
      <c r="A29" s="74" t="s">
        <v>68</v>
      </c>
      <c r="B29" s="75" t="s">
        <v>151</v>
      </c>
      <c r="C29" s="75" t="s">
        <v>97</v>
      </c>
    </row>
    <row r="30" spans="1:3" x14ac:dyDescent="0.25">
      <c r="A30" s="74" t="s">
        <v>69</v>
      </c>
      <c r="B30" s="75" t="s">
        <v>36</v>
      </c>
      <c r="C30" s="75" t="s">
        <v>98</v>
      </c>
    </row>
    <row r="31" spans="1:3" x14ac:dyDescent="0.25">
      <c r="A31" s="74" t="s">
        <v>70</v>
      </c>
      <c r="B31" s="75" t="s">
        <v>37</v>
      </c>
      <c r="C31" s="75" t="s">
        <v>99</v>
      </c>
    </row>
    <row r="32" spans="1:3" x14ac:dyDescent="0.25">
      <c r="A32" s="74" t="s">
        <v>71</v>
      </c>
      <c r="B32" s="75" t="s">
        <v>38</v>
      </c>
      <c r="C32" s="75" t="s">
        <v>100</v>
      </c>
    </row>
    <row r="33" spans="1:3" ht="30" x14ac:dyDescent="0.25">
      <c r="A33" s="74" t="s">
        <v>72</v>
      </c>
      <c r="B33" s="75" t="s">
        <v>39</v>
      </c>
      <c r="C33" s="75" t="s">
        <v>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Gannt</vt:lpstr>
      <vt:lpstr>Cod</vt:lpstr>
      <vt:lpstr>Inicio_del_proyecto</vt:lpstr>
      <vt:lpstr>Semana_para_mostrar</vt:lpstr>
      <vt:lpstr>Gannt!task_end</vt:lpstr>
      <vt:lpstr>Gannt!task_progress</vt:lpstr>
      <vt:lpstr>Gannt!task_start</vt:lpstr>
      <vt:lpstr>Gannt!Títulos_a_imprimir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2025-11-20T14:39:01Z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